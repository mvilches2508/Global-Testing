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Global\Global-Testing\"/>
    </mc:Choice>
  </mc:AlternateContent>
  <xr:revisionPtr revIDLastSave="0" documentId="13_ncr:1_{671A47D1-D2D7-43B9-A6B0-B722D570782D}" xr6:coauthVersionLast="38" xr6:coauthVersionMax="38" xr10:uidLastSave="{00000000-0000-0000-0000-000000000000}"/>
  <bookViews>
    <workbookView xWindow="0" yWindow="0" windowWidth="20490" windowHeight="7545" tabRatio="500" activeTab="1" xr2:uid="{00000000-000D-0000-FFFF-FFFF00000000}"/>
  </bookViews>
  <sheets>
    <sheet name="Cronograma" sheetId="1" r:id="rId1"/>
    <sheet name="actividades" sheetId="2" r:id="rId2"/>
  </sheets>
  <definedNames>
    <definedName name="_xlnm._FilterDatabase" localSheetId="1" hidden="1">actividades!$C$3:$C$130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2" l="1"/>
  <c r="H4" i="2"/>
  <c r="G4" i="2"/>
  <c r="D15" i="1" l="1"/>
  <c r="F15" i="1" s="1"/>
  <c r="D5" i="1" l="1"/>
  <c r="C6" i="1" l="1"/>
  <c r="D6" i="1" s="1"/>
  <c r="F6" i="1" l="1"/>
  <c r="C7" i="1"/>
  <c r="D7" i="1" s="1"/>
  <c r="C17" i="1" l="1"/>
  <c r="D17" i="1" s="1"/>
  <c r="F17" i="1" s="1"/>
  <c r="F7" i="1"/>
  <c r="C8" i="1"/>
  <c r="D8" i="1"/>
  <c r="C9" i="1" l="1"/>
  <c r="D9" i="1" s="1"/>
  <c r="F8" i="1"/>
  <c r="C12" i="1"/>
  <c r="D10" i="1" l="1"/>
  <c r="F10" i="1" s="1"/>
  <c r="F9" i="1"/>
  <c r="C11" i="1" l="1"/>
  <c r="D11" i="1" s="1"/>
  <c r="F11" i="1" s="1"/>
  <c r="D12" i="1"/>
  <c r="C13" i="1" l="1"/>
  <c r="D13" i="1" s="1"/>
  <c r="F13" i="1" s="1"/>
  <c r="F12" i="1"/>
  <c r="C16" i="1"/>
  <c r="D16" i="1" s="1"/>
  <c r="F16" i="1" s="1"/>
  <c r="C14" i="1" l="1"/>
  <c r="D14" i="1" s="1"/>
  <c r="F14" i="1" s="1"/>
</calcChain>
</file>

<file path=xl/sharedStrings.xml><?xml version="1.0" encoding="utf-8"?>
<sst xmlns="http://schemas.openxmlformats.org/spreadsheetml/2006/main" count="672" uniqueCount="166">
  <si>
    <t>Nombre de la tarea</t>
  </si>
  <si>
    <t>Fecha de inicio</t>
  </si>
  <si>
    <t>Fecha final</t>
  </si>
  <si>
    <t>Duración (dias)</t>
  </si>
  <si>
    <t>DH</t>
  </si>
  <si>
    <t>Avance</t>
  </si>
  <si>
    <t>Mapeo de Funcionalidades (108)</t>
  </si>
  <si>
    <t>Plan de Aseguramiento de Calidad GEMMA</t>
  </si>
  <si>
    <t>Diseño de Casos de prueba</t>
  </si>
  <si>
    <t>Validación Casos de Prueba</t>
  </si>
  <si>
    <t>Carga de Especificaciones</t>
  </si>
  <si>
    <t>Implementación de Herramientas de Apoyo</t>
  </si>
  <si>
    <t>Ejecución Ciclo1</t>
  </si>
  <si>
    <t>Correción Defectos</t>
  </si>
  <si>
    <t>Ejecución Ciclo 2</t>
  </si>
  <si>
    <t>Pruebas de Performance Antes MIG</t>
  </si>
  <si>
    <t>Pruebas de Performance Post MIG</t>
  </si>
  <si>
    <t>Automatización Continuidad Operativa</t>
  </si>
  <si>
    <t>Carga y Ajuste de Casos</t>
  </si>
  <si>
    <t>Customización de Workflows/Evangelización Proceso</t>
  </si>
  <si>
    <t>Casos de Prueba</t>
  </si>
  <si>
    <t>Documentación</t>
  </si>
  <si>
    <t>Inicio</t>
  </si>
  <si>
    <t>Dashboard</t>
  </si>
  <si>
    <t>Por estado caso</t>
  </si>
  <si>
    <t>Cotización</t>
  </si>
  <si>
    <t>Propuestas</t>
  </si>
  <si>
    <t>Solicitudes</t>
  </si>
  <si>
    <t>Evaluaciones</t>
  </si>
  <si>
    <t>Aprobadas</t>
  </si>
  <si>
    <t>Condicionadas</t>
  </si>
  <si>
    <t>Rechazadas</t>
  </si>
  <si>
    <t>Por Estado seguimiento</t>
  </si>
  <si>
    <t>Cerrando Crédito</t>
  </si>
  <si>
    <t>Negoc. Descuento</t>
  </si>
  <si>
    <t>Negoc. Toma</t>
  </si>
  <si>
    <t>No hay Modelo</t>
  </si>
  <si>
    <t>No tiene Pie</t>
  </si>
  <si>
    <t>Para mas adelante</t>
  </si>
  <si>
    <t>Vendiendo Vehículo</t>
  </si>
  <si>
    <t>Viendo Otras Marcas</t>
  </si>
  <si>
    <t>Sin Seguimiento</t>
  </si>
  <si>
    <t>Exitos del mes</t>
  </si>
  <si>
    <t>Total Exitos</t>
  </si>
  <si>
    <t>Pendientes</t>
  </si>
  <si>
    <t>Precursadas</t>
  </si>
  <si>
    <t>Respaldadas</t>
  </si>
  <si>
    <t>Validadas</t>
  </si>
  <si>
    <t>Ingresadas</t>
  </si>
  <si>
    <t>Filtros</t>
  </si>
  <si>
    <t>Gestión de Cobranzas</t>
  </si>
  <si>
    <t>Gestón de Operaciones por validar</t>
  </si>
  <si>
    <t>Gestión de Operaciones por cursar</t>
  </si>
  <si>
    <t>Gestión Casos abiertos</t>
  </si>
  <si>
    <t>Estadísticas</t>
  </si>
  <si>
    <t>Casos</t>
  </si>
  <si>
    <t>Generar Cotización</t>
  </si>
  <si>
    <t>Generar Propuesta</t>
  </si>
  <si>
    <t>Generar Leasing</t>
  </si>
  <si>
    <t>Generar Solicitud</t>
  </si>
  <si>
    <t>Reasignar Casos</t>
  </si>
  <si>
    <t>Trabajar con casos</t>
  </si>
  <si>
    <t>Etiquetas: Prioridad 2</t>
  </si>
  <si>
    <t>Trabajar con comisiones</t>
  </si>
  <si>
    <t>Trabajar con Peajes</t>
  </si>
  <si>
    <t>Panel Consulta Forzaje</t>
  </si>
  <si>
    <t>Post Venta</t>
  </si>
  <si>
    <t>Generar Refinanciamiento</t>
  </si>
  <si>
    <t>Generar Renegociación</t>
  </si>
  <si>
    <t>Generar Renovavión</t>
  </si>
  <si>
    <t>Trabajar con prepagos</t>
  </si>
  <si>
    <t>Reportes</t>
  </si>
  <si>
    <t>Comisiones por liquidar</t>
  </si>
  <si>
    <t>Colocaciones</t>
  </si>
  <si>
    <t>Colocaciones Detallado</t>
  </si>
  <si>
    <t>Colocaciones Consolidadas</t>
  </si>
  <si>
    <t>Créditos Pagados</t>
  </si>
  <si>
    <t>Cupón de Pagos</t>
  </si>
  <si>
    <t>Documentación Pendiente</t>
  </si>
  <si>
    <t>Financieras</t>
  </si>
  <si>
    <t>Gestión Comercial</t>
  </si>
  <si>
    <t>Motivos de Rechazo</t>
  </si>
  <si>
    <t>Operaciones</t>
  </si>
  <si>
    <t>Operaciones Detalladas</t>
  </si>
  <si>
    <t>Ingresados</t>
  </si>
  <si>
    <t>Ventas</t>
  </si>
  <si>
    <t>Ventas Vs Proyección</t>
  </si>
  <si>
    <t>Peajes</t>
  </si>
  <si>
    <t>Puntajes</t>
  </si>
  <si>
    <t>Tesorería</t>
  </si>
  <si>
    <t>Panel Pago Saldos Precio</t>
  </si>
  <si>
    <t>Panel Pago Comisiones</t>
  </si>
  <si>
    <t>Panel Pago Peaje</t>
  </si>
  <si>
    <t>Marketing</t>
  </si>
  <si>
    <t>Generar Display</t>
  </si>
  <si>
    <t>Maestros</t>
  </si>
  <si>
    <t>Clientes</t>
  </si>
  <si>
    <t>Distribuidores</t>
  </si>
  <si>
    <t>Categorias Distribuidores</t>
  </si>
  <si>
    <t>Canales</t>
  </si>
  <si>
    <t>Tipos de Vehiculo</t>
  </si>
  <si>
    <t>Vehiculos</t>
  </si>
  <si>
    <t>Características</t>
  </si>
  <si>
    <t>Actividad Económica</t>
  </si>
  <si>
    <t>Profesiones</t>
  </si>
  <si>
    <t>Regiones</t>
  </si>
  <si>
    <t>Tipos Bien Raíz</t>
  </si>
  <si>
    <t>Documentos Requeridos</t>
  </si>
  <si>
    <t>Políticas de Prepagos</t>
  </si>
  <si>
    <t>Razón seguimiento</t>
  </si>
  <si>
    <t>Razón Fracaso</t>
  </si>
  <si>
    <t>Motivos Rechazo</t>
  </si>
  <si>
    <t>Financiera</t>
  </si>
  <si>
    <t>Razon seguimiento contacto</t>
  </si>
  <si>
    <t>CIA de Seguro</t>
  </si>
  <si>
    <t>Banco</t>
  </si>
  <si>
    <t>Rut Bloqueados</t>
  </si>
  <si>
    <t>Incentivos</t>
  </si>
  <si>
    <t>Zonas</t>
  </si>
  <si>
    <t>Campañas</t>
  </si>
  <si>
    <t>Opción</t>
  </si>
  <si>
    <t>Producto Crédito</t>
  </si>
  <si>
    <t>Peaje</t>
  </si>
  <si>
    <t>Adicionales</t>
  </si>
  <si>
    <t>Mensaje tramos Puntaje</t>
  </si>
  <si>
    <t>Tramos Puntaje</t>
  </si>
  <si>
    <t>Feriados</t>
  </si>
  <si>
    <t>Administración</t>
  </si>
  <si>
    <t>Roles</t>
  </si>
  <si>
    <t>Usuarios</t>
  </si>
  <si>
    <t>Funciones</t>
  </si>
  <si>
    <t>Trabajar con representantes</t>
  </si>
  <si>
    <t>Parámetros Generales</t>
  </si>
  <si>
    <t>Parámetros Scoring Naturales</t>
  </si>
  <si>
    <t>Parámetros Puntaje Natural</t>
  </si>
  <si>
    <t>Parámetros Scoring Empresa</t>
  </si>
  <si>
    <t>Caducar Operaciones</t>
  </si>
  <si>
    <t>Caducar Solicitudes</t>
  </si>
  <si>
    <t>Paridades</t>
  </si>
  <si>
    <t>Rut PAC Global</t>
  </si>
  <si>
    <t>Evaluadores</t>
  </si>
  <si>
    <t>Niveles de Aprobación</t>
  </si>
  <si>
    <t>Maestros Turnos</t>
  </si>
  <si>
    <t>Pool</t>
  </si>
  <si>
    <t>Tiempo Estándar de Apobación</t>
  </si>
  <si>
    <t>Reasignar Evaluadores</t>
  </si>
  <si>
    <t>Activar / Desactivar Evaluadores</t>
  </si>
  <si>
    <t>Usuario</t>
  </si>
  <si>
    <t>Cambiar contraseña</t>
  </si>
  <si>
    <t>estado</t>
  </si>
  <si>
    <t>listo</t>
  </si>
  <si>
    <t>pendiente</t>
  </si>
  <si>
    <t>Módulos</t>
  </si>
  <si>
    <t>ejecutor</t>
  </si>
  <si>
    <t>Yelise</t>
  </si>
  <si>
    <t>Opción será eliminada en la migración del sistema</t>
  </si>
  <si>
    <t>Obsoleto</t>
  </si>
  <si>
    <t>Listo</t>
  </si>
  <si>
    <t>Pendiente</t>
  </si>
  <si>
    <t>Reportes, finalizada la revisón de la funcionalidad, falta validar que Gerencias lo  ocupan, hasta el momento solo se han verificado 6 reportes que son empleados por la Gerencia de Riesgos.</t>
  </si>
  <si>
    <t>Tesorería, La capacitación se encuentra congelada debido al tema de cierre.</t>
  </si>
  <si>
    <t>Post Venta, Falta validar con los usuario de operaciones.</t>
  </si>
  <si>
    <t>Se valido el Refinanciamiento.</t>
  </si>
  <si>
    <r>
      <rPr>
        <b/>
        <sz val="12"/>
        <color theme="1"/>
        <rFont val="Calibri"/>
        <family val="2"/>
        <scheme val="minor"/>
      </rPr>
      <t>Nota:</t>
    </r>
    <r>
      <rPr>
        <sz val="12"/>
        <color theme="1"/>
        <rFont val="Calibri"/>
        <family val="2"/>
        <charset val="134"/>
        <scheme val="minor"/>
      </rPr>
      <t xml:space="preserve"> Se envia un correo para verificar a que se refieren estan 3 funcionalidades.</t>
    </r>
  </si>
  <si>
    <t>DOCUMENTACION</t>
  </si>
  <si>
    <t>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</si>
</sst>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4"/>
      <scheme val="minor"/>
    </font>
    <font>
      <sz val="12"/>
      <color rgb="FF000000"/>
      <name val="Microsoft Sans Serif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6"/>
      <color theme="1"/>
      <name val="Calibri"/>
      <family val="2"/>
      <charset val="134"/>
      <scheme val="minor"/>
    </font>
    <font>
      <sz val="12"/>
      <color theme="0" tint="-4.9989318521683403E-2"/>
      <name val="Calibri"/>
      <family val="2"/>
      <charset val="134"/>
      <scheme val="minor"/>
    </font>
    <font>
      <sz val="12"/>
      <name val="Calibri"/>
      <family val="2"/>
      <charset val="134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CD4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2" borderId="0" xfId="0" applyFill="1"/>
    <xf numFmtId="0" fontId="0" fillId="3" borderId="1" xfId="0" applyFill="1" applyBorder="1" applyAlignment="1">
      <alignment wrapText="1"/>
    </xf>
    <xf numFmtId="0" fontId="0" fillId="2" borderId="0" xfId="0" applyFill="1" applyAlignment="1">
      <alignment wrapText="1"/>
    </xf>
    <xf numFmtId="14" fontId="1" fillId="2" borderId="1" xfId="0" applyNumberFormat="1" applyFont="1" applyFill="1" applyBorder="1" applyAlignment="1">
      <alignment horizontal="left" vertical="center" wrapText="1" readingOrder="1"/>
    </xf>
    <xf numFmtId="1" fontId="0" fillId="2" borderId="0" xfId="0" applyNumberFormat="1" applyFill="1"/>
    <xf numFmtId="9" fontId="0" fillId="2" borderId="0" xfId="5" applyFont="1" applyFill="1"/>
    <xf numFmtId="9" fontId="1" fillId="2" borderId="1" xfId="5" applyFont="1" applyFill="1" applyBorder="1" applyAlignment="1">
      <alignment horizontal="left" vertical="center" wrapText="1" readingOrder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1" borderId="0" xfId="0" applyFill="1"/>
    <xf numFmtId="0" fontId="7" fillId="10" borderId="0" xfId="0" applyFont="1" applyFill="1"/>
    <xf numFmtId="0" fontId="0" fillId="12" borderId="0" xfId="0" applyFill="1"/>
    <xf numFmtId="0" fontId="0" fillId="13" borderId="0" xfId="0" applyFill="1"/>
    <xf numFmtId="0" fontId="8" fillId="0" borderId="0" xfId="0" applyFont="1"/>
    <xf numFmtId="0" fontId="0" fillId="14" borderId="0" xfId="0" applyFill="1"/>
    <xf numFmtId="0" fontId="0" fillId="0" borderId="0" xfId="0" applyFill="1"/>
    <xf numFmtId="0" fontId="9" fillId="0" borderId="0" xfId="0" applyFont="1"/>
    <xf numFmtId="0" fontId="9" fillId="5" borderId="0" xfId="0" applyFont="1" applyFill="1"/>
    <xf numFmtId="0" fontId="9" fillId="0" borderId="0" xfId="0" applyFont="1" applyFill="1"/>
    <xf numFmtId="0" fontId="10" fillId="5" borderId="0" xfId="0" applyFont="1" applyFill="1"/>
    <xf numFmtId="0" fontId="8" fillId="7" borderId="0" xfId="0" applyFont="1" applyFill="1"/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6" fillId="2" borderId="2" xfId="0" applyFont="1" applyFill="1" applyBorder="1" applyAlignment="1">
      <alignment horizontal="center"/>
    </xf>
    <xf numFmtId="0" fontId="12" fillId="14" borderId="0" xfId="0" applyFont="1" applyFill="1" applyAlignment="1">
      <alignment vertical="center" textRotation="90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wrapText="1"/>
    </xf>
    <xf numFmtId="0" fontId="12" fillId="15" borderId="0" xfId="0" applyFont="1" applyFill="1" applyAlignment="1">
      <alignment vertical="center" textRotation="90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Porcentaje" xfId="5" builtinId="5"/>
  </cellStyles>
  <dxfs count="0"/>
  <tableStyles count="0" defaultTableStyle="TableStyleMedium9" defaultPivotStyle="PivotStyleMedium4"/>
  <colors>
    <mruColors>
      <color rgb="FFFFFF00"/>
      <color rgb="FF5AB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Cronograma!$C$4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Cronograma!$B$5:$B$17</c:f>
              <c:strCache>
                <c:ptCount val="13"/>
                <c:pt idx="0">
                  <c:v>Mapeo de Funcionalidades (108)</c:v>
                </c:pt>
                <c:pt idx="1">
                  <c:v>Diseño de Casos de prueba</c:v>
                </c:pt>
                <c:pt idx="2">
                  <c:v>Validación Casos de Prueba</c:v>
                </c:pt>
                <c:pt idx="3">
                  <c:v>Carga y Ajuste de Casos</c:v>
                </c:pt>
                <c:pt idx="4">
                  <c:v>Carga de Especificaciones</c:v>
                </c:pt>
                <c:pt idx="5">
                  <c:v>Implementación de Herramientas de Apoyo</c:v>
                </c:pt>
                <c:pt idx="6">
                  <c:v>Customización de Workflows/Evangelización Proceso</c:v>
                </c:pt>
                <c:pt idx="7">
                  <c:v>Ejecución Ciclo1</c:v>
                </c:pt>
                <c:pt idx="8">
                  <c:v>Correción Defectos</c:v>
                </c:pt>
                <c:pt idx="9">
                  <c:v>Ejecución Ciclo 2</c:v>
                </c:pt>
                <c:pt idx="10">
                  <c:v>Pruebas de Performance Antes MIG</c:v>
                </c:pt>
                <c:pt idx="11">
                  <c:v>Pruebas de Performance Post MIG</c:v>
                </c:pt>
                <c:pt idx="12">
                  <c:v>Automatización Continuidad Operativa</c:v>
                </c:pt>
              </c:strCache>
            </c:strRef>
          </c:cat>
          <c:val>
            <c:numRef>
              <c:f>Cronograma!$C$5:$C$17</c:f>
              <c:numCache>
                <c:formatCode>m/d/yyyy</c:formatCode>
                <c:ptCount val="13"/>
                <c:pt idx="0">
                  <c:v>43255</c:v>
                </c:pt>
                <c:pt idx="1">
                  <c:v>43298</c:v>
                </c:pt>
                <c:pt idx="2">
                  <c:v>43353</c:v>
                </c:pt>
                <c:pt idx="3">
                  <c:v>43356</c:v>
                </c:pt>
                <c:pt idx="4">
                  <c:v>43364</c:v>
                </c:pt>
                <c:pt idx="5">
                  <c:v>43266</c:v>
                </c:pt>
                <c:pt idx="6">
                  <c:v>43285</c:v>
                </c:pt>
                <c:pt idx="7">
                  <c:v>43364</c:v>
                </c:pt>
                <c:pt idx="8">
                  <c:v>43419</c:v>
                </c:pt>
                <c:pt idx="9">
                  <c:v>43448</c:v>
                </c:pt>
                <c:pt idx="10">
                  <c:v>43288</c:v>
                </c:pt>
                <c:pt idx="11">
                  <c:v>43411</c:v>
                </c:pt>
                <c:pt idx="12">
                  <c:v>43356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052-BC7A-17E75EF5DC59}"/>
            </c:ext>
          </c:extLst>
        </c:ser>
        <c:ser>
          <c:idx val="1"/>
          <c:order val="1"/>
          <c:tx>
            <c:strRef>
              <c:f>Cronograma!$F$4</c:f>
              <c:strCache>
                <c:ptCount val="1"/>
                <c:pt idx="0">
                  <c:v>Duración (dias)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2-4899-4052-BC7A-17E75EF5DC59}"/>
              </c:ext>
            </c:extLst>
          </c:dPt>
          <c:dPt>
            <c:idx val="1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4-4899-4052-BC7A-17E75EF5DC59}"/>
              </c:ext>
            </c:extLst>
          </c:dPt>
          <c:dPt>
            <c:idx val="2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4899-4052-BC7A-17E75EF5DC59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8-4899-4052-BC7A-17E75EF5DC59}"/>
              </c:ext>
            </c:extLst>
          </c:dPt>
          <c:dPt>
            <c:idx val="4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A-4899-4052-BC7A-17E75EF5DC59}"/>
              </c:ext>
            </c:extLst>
          </c:dPt>
          <c:dPt>
            <c:idx val="5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C-4899-4052-BC7A-17E75EF5DC59}"/>
              </c:ext>
            </c:extLst>
          </c:dPt>
          <c:dPt>
            <c:idx val="6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0E-4899-4052-BC7A-17E75EF5DC59}"/>
              </c:ext>
            </c:extLst>
          </c:dPt>
          <c:dPt>
            <c:idx val="7"/>
            <c:invertIfNegative val="0"/>
            <c:bubble3D val="0"/>
            <c:spPr>
              <a:solidFill>
                <a:srgbClr val="3366FF"/>
              </a:solidFill>
            </c:spPr>
            <c:extLst>
              <c:ext xmlns:c16="http://schemas.microsoft.com/office/drawing/2014/chart" uri="{C3380CC4-5D6E-409C-BE32-E72D297353CC}">
                <c16:uniqueId val="{00000010-4899-4052-BC7A-17E75EF5DC59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2-4899-4052-BC7A-17E75EF5DC59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4-4899-4052-BC7A-17E75EF5DC59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4899-4052-BC7A-17E75EF5DC59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8-4899-4052-BC7A-17E75EF5DC59}"/>
              </c:ext>
            </c:extLst>
          </c:dPt>
          <c:dPt>
            <c:idx val="12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A-4899-4052-BC7A-17E75EF5DC59}"/>
              </c:ext>
            </c:extLst>
          </c:dPt>
          <c:dPt>
            <c:idx val="13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C-4899-4052-BC7A-17E75EF5DC59}"/>
              </c:ext>
            </c:extLst>
          </c:dPt>
          <c:dPt>
            <c:idx val="14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1E-4899-4052-BC7A-17E75EF5DC59}"/>
              </c:ext>
            </c:extLst>
          </c:dPt>
          <c:dPt>
            <c:idx val="15"/>
            <c:invertIfNegative val="0"/>
            <c:bubble3D val="0"/>
            <c:spPr>
              <a:solidFill>
                <a:srgbClr val="660066"/>
              </a:solidFill>
            </c:spPr>
            <c:extLst>
              <c:ext xmlns:c16="http://schemas.microsoft.com/office/drawing/2014/chart" uri="{C3380CC4-5D6E-409C-BE32-E72D297353CC}">
                <c16:uniqueId val="{00000020-4899-4052-BC7A-17E75EF5DC59}"/>
              </c:ext>
            </c:extLst>
          </c:dPt>
          <c:cat>
            <c:strRef>
              <c:f>Cronograma!$B$5:$B$17</c:f>
              <c:strCache>
                <c:ptCount val="13"/>
                <c:pt idx="0">
                  <c:v>Mapeo de Funcionalidades (108)</c:v>
                </c:pt>
                <c:pt idx="1">
                  <c:v>Diseño de Casos de prueba</c:v>
                </c:pt>
                <c:pt idx="2">
                  <c:v>Validación Casos de Prueba</c:v>
                </c:pt>
                <c:pt idx="3">
                  <c:v>Carga y Ajuste de Casos</c:v>
                </c:pt>
                <c:pt idx="4">
                  <c:v>Carga de Especificaciones</c:v>
                </c:pt>
                <c:pt idx="5">
                  <c:v>Implementación de Herramientas de Apoyo</c:v>
                </c:pt>
                <c:pt idx="6">
                  <c:v>Customización de Workflows/Evangelización Proceso</c:v>
                </c:pt>
                <c:pt idx="7">
                  <c:v>Ejecución Ciclo1</c:v>
                </c:pt>
                <c:pt idx="8">
                  <c:v>Correción Defectos</c:v>
                </c:pt>
                <c:pt idx="9">
                  <c:v>Ejecución Ciclo 2</c:v>
                </c:pt>
                <c:pt idx="10">
                  <c:v>Pruebas de Performance Antes MIG</c:v>
                </c:pt>
                <c:pt idx="11">
                  <c:v>Pruebas de Performance Post MIG</c:v>
                </c:pt>
                <c:pt idx="12">
                  <c:v>Automatización Continuidad Operativa</c:v>
                </c:pt>
              </c:strCache>
            </c:strRef>
          </c:cat>
          <c:val>
            <c:numRef>
              <c:f>Cronograma!$F$5:$F$17</c:f>
              <c:numCache>
                <c:formatCode>General</c:formatCode>
                <c:ptCount val="13"/>
                <c:pt idx="0">
                  <c:v>42</c:v>
                </c:pt>
                <c:pt idx="1">
                  <c:v>52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18</c:v>
                </c:pt>
                <c:pt idx="6">
                  <c:v>13</c:v>
                </c:pt>
                <c:pt idx="7">
                  <c:v>54</c:v>
                </c:pt>
                <c:pt idx="8">
                  <c:v>28</c:v>
                </c:pt>
                <c:pt idx="9">
                  <c:v>42</c:v>
                </c:pt>
                <c:pt idx="10">
                  <c:v>17</c:v>
                </c:pt>
                <c:pt idx="11">
                  <c:v>16</c:v>
                </c:pt>
                <c:pt idx="1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899-4052-BC7A-17E75EF5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8058432"/>
        <c:axId val="68058992"/>
      </c:barChart>
      <c:catAx>
        <c:axId val="680584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Fases Desa/QA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68058992"/>
        <c:crosses val="autoZero"/>
        <c:auto val="1"/>
        <c:lblAlgn val="ctr"/>
        <c:lblOffset val="100"/>
        <c:noMultiLvlLbl val="0"/>
      </c:catAx>
      <c:valAx>
        <c:axId val="68058992"/>
        <c:scaling>
          <c:orientation val="minMax"/>
          <c:min val="43189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Web</a:t>
                </a:r>
                <a:r>
                  <a:rPr lang="en-US" baseline="0"/>
                  <a:t> 2,0</a:t>
                </a:r>
                <a:endParaRPr lang="en-US"/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s-CL"/>
          </a:p>
        </c:txPr>
        <c:crossAx val="68058432"/>
        <c:crosses val="autoZero"/>
        <c:crossBetween val="between"/>
        <c:majorUnit val="2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Documentación</a:t>
            </a:r>
          </a:p>
        </c:rich>
      </c:tx>
      <c:layout>
        <c:manualLayout>
          <c:xMode val="edge"/>
          <c:yMode val="edge"/>
          <c:x val="0.22060411198600177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87-4429-A514-CDBAC38D23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87-4429-A514-CDBAC38D23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87-4429-A514-CDBAC38D23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actividades!$G$3:$I$3</c:f>
              <c:strCache>
                <c:ptCount val="3"/>
                <c:pt idx="0">
                  <c:v>Listo</c:v>
                </c:pt>
                <c:pt idx="1">
                  <c:v>Pendiente</c:v>
                </c:pt>
                <c:pt idx="2">
                  <c:v>Obsoleto</c:v>
                </c:pt>
              </c:strCache>
            </c:strRef>
          </c:cat>
          <c:val>
            <c:numRef>
              <c:f>actividades!$G$4:$I$4</c:f>
              <c:numCache>
                <c:formatCode>General</c:formatCode>
                <c:ptCount val="3"/>
                <c:pt idx="0">
                  <c:v>116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F-483E-BEB2-050447B2EC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792480</xdr:colOff>
      <xdr:row>20</xdr:row>
      <xdr:rowOff>6985</xdr:rowOff>
    </xdr:from>
    <xdr:to>
      <xdr:col>22</xdr:col>
      <xdr:colOff>269875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133350</xdr:rowOff>
    </xdr:from>
    <xdr:to>
      <xdr:col>8</xdr:col>
      <xdr:colOff>3457575</xdr:colOff>
      <xdr:row>18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X963"/>
  <sheetViews>
    <sheetView topLeftCell="A4" zoomScale="60" zoomScaleNormal="60" zoomScalePageLayoutView="85" workbookViewId="0">
      <selection activeCell="C6" sqref="C6"/>
    </sheetView>
  </sheetViews>
  <sheetFormatPr baseColWidth="10" defaultColWidth="11" defaultRowHeight="15.75"/>
  <cols>
    <col min="1" max="1" width="11" customWidth="1"/>
    <col min="2" max="2" width="53.625" bestFit="1" customWidth="1"/>
    <col min="3" max="3" width="13.5" customWidth="1"/>
    <col min="4" max="5" width="13.75" customWidth="1"/>
    <col min="6" max="6" width="12.875" customWidth="1"/>
    <col min="8" max="8" width="14.875" bestFit="1" customWidth="1"/>
    <col min="10" max="10" width="16.375" bestFit="1" customWidth="1"/>
    <col min="14" max="19" width="4.125" customWidth="1"/>
    <col min="20" max="37" width="5.375" customWidth="1"/>
  </cols>
  <sheetData>
    <row r="1" spans="1:26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</row>
    <row r="2" spans="1:26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</row>
    <row r="3" spans="1:260" ht="21" customHeight="1">
      <c r="A3" s="2"/>
      <c r="B3" s="29" t="s">
        <v>7</v>
      </c>
      <c r="C3" s="29"/>
      <c r="D3" s="29"/>
      <c r="E3" s="29"/>
      <c r="F3" s="29"/>
      <c r="G3" s="2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</row>
    <row r="4" spans="1:260" ht="31.5">
      <c r="A4" s="2"/>
      <c r="B4" s="3" t="s">
        <v>0</v>
      </c>
      <c r="C4" s="3" t="s">
        <v>1</v>
      </c>
      <c r="D4" s="3" t="s">
        <v>2</v>
      </c>
      <c r="E4" s="3" t="s">
        <v>5</v>
      </c>
      <c r="F4" s="3" t="s">
        <v>3</v>
      </c>
      <c r="G4" s="3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</row>
    <row r="5" spans="1:260">
      <c r="A5" s="2"/>
      <c r="B5" s="1" t="s">
        <v>6</v>
      </c>
      <c r="C5" s="5">
        <v>43255</v>
      </c>
      <c r="D5" s="5">
        <f>WORKDAY(C5,G5)</f>
        <v>43297</v>
      </c>
      <c r="E5" s="8">
        <v>0.27</v>
      </c>
      <c r="F5" s="1">
        <v>42</v>
      </c>
      <c r="G5" s="1">
        <v>30</v>
      </c>
      <c r="H5" s="2"/>
      <c r="I5" s="2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</row>
    <row r="6" spans="1:260">
      <c r="A6" s="2"/>
      <c r="B6" s="1" t="s">
        <v>8</v>
      </c>
      <c r="C6" s="5">
        <f>WORKDAY(D5,1)</f>
        <v>43298</v>
      </c>
      <c r="D6" s="5">
        <f t="shared" ref="D6:D11" si="0">WORKDAY(C6,G6)</f>
        <v>43350</v>
      </c>
      <c r="E6" s="8">
        <v>0</v>
      </c>
      <c r="F6" s="1">
        <f>_xlfn.DAYS(D6,C6)</f>
        <v>52</v>
      </c>
      <c r="G6" s="1">
        <v>38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</row>
    <row r="7" spans="1:260">
      <c r="A7" s="2"/>
      <c r="B7" s="1" t="s">
        <v>9</v>
      </c>
      <c r="C7" s="5">
        <f t="shared" ref="C7:C14" si="1">WORKDAY(D6,1)</f>
        <v>43353</v>
      </c>
      <c r="D7" s="5">
        <f t="shared" si="0"/>
        <v>43355</v>
      </c>
      <c r="E7" s="5"/>
      <c r="F7" s="1">
        <f t="shared" ref="F7:F17" si="2">_xlfn.DAYS(D7,C7)</f>
        <v>2</v>
      </c>
      <c r="G7" s="1">
        <v>2</v>
      </c>
      <c r="H7" s="2"/>
      <c r="I7" s="2"/>
      <c r="J7" s="2" t="s">
        <v>20</v>
      </c>
      <c r="K7" s="2">
        <v>1185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</row>
    <row r="8" spans="1:260">
      <c r="A8" s="2"/>
      <c r="B8" s="1" t="s">
        <v>18</v>
      </c>
      <c r="C8" s="5">
        <f t="shared" si="1"/>
        <v>43356</v>
      </c>
      <c r="D8" s="5">
        <f t="shared" si="0"/>
        <v>43363</v>
      </c>
      <c r="E8" s="5"/>
      <c r="F8" s="1">
        <f t="shared" si="2"/>
        <v>7</v>
      </c>
      <c r="G8" s="1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</row>
    <row r="9" spans="1:260">
      <c r="A9" s="2"/>
      <c r="B9" s="1" t="s">
        <v>10</v>
      </c>
      <c r="C9" s="5">
        <f t="shared" si="1"/>
        <v>43364</v>
      </c>
      <c r="D9" s="5">
        <f t="shared" si="0"/>
        <v>43371</v>
      </c>
      <c r="E9" s="5"/>
      <c r="F9" s="1">
        <f t="shared" si="2"/>
        <v>7</v>
      </c>
      <c r="G9" s="1">
        <v>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</row>
    <row r="10" spans="1:260">
      <c r="A10" s="2"/>
      <c r="B10" s="1" t="s">
        <v>11</v>
      </c>
      <c r="C10" s="5">
        <v>43266</v>
      </c>
      <c r="D10" s="5">
        <f t="shared" si="0"/>
        <v>43284</v>
      </c>
      <c r="E10" s="5"/>
      <c r="F10" s="1">
        <f t="shared" si="2"/>
        <v>18</v>
      </c>
      <c r="G10" s="1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</row>
    <row r="11" spans="1:260">
      <c r="A11" s="2"/>
      <c r="B11" s="1" t="s">
        <v>19</v>
      </c>
      <c r="C11" s="5">
        <f t="shared" si="1"/>
        <v>43285</v>
      </c>
      <c r="D11" s="5">
        <f t="shared" si="0"/>
        <v>43298</v>
      </c>
      <c r="E11" s="5"/>
      <c r="F11" s="1">
        <f t="shared" si="2"/>
        <v>13</v>
      </c>
      <c r="G11" s="1">
        <v>9</v>
      </c>
      <c r="H11" s="2"/>
      <c r="I11" s="2"/>
      <c r="J11" s="2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</row>
    <row r="12" spans="1:260">
      <c r="A12" s="4"/>
      <c r="B12" s="1" t="s">
        <v>12</v>
      </c>
      <c r="C12" s="5">
        <f>WORKDAY(D8,1)</f>
        <v>43364</v>
      </c>
      <c r="D12" s="5">
        <f t="shared" ref="D12" si="3">WORKDAY(C12,G12)</f>
        <v>43418</v>
      </c>
      <c r="E12" s="5"/>
      <c r="F12" s="1">
        <f t="shared" si="2"/>
        <v>54</v>
      </c>
      <c r="G12" s="1">
        <v>38</v>
      </c>
      <c r="H12" s="2"/>
      <c r="I12" s="2"/>
      <c r="J12" s="2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</row>
    <row r="13" spans="1:260">
      <c r="A13" s="4"/>
      <c r="B13" s="1" t="s">
        <v>13</v>
      </c>
      <c r="C13" s="5">
        <f t="shared" si="1"/>
        <v>43419</v>
      </c>
      <c r="D13" s="5">
        <f>WORKDAY(C13,G13)</f>
        <v>43447</v>
      </c>
      <c r="E13" s="5"/>
      <c r="F13" s="1">
        <f t="shared" si="2"/>
        <v>28</v>
      </c>
      <c r="G13" s="1">
        <v>20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</row>
    <row r="14" spans="1:260">
      <c r="A14" s="4"/>
      <c r="B14" s="1" t="s">
        <v>14</v>
      </c>
      <c r="C14" s="5">
        <f t="shared" si="1"/>
        <v>43448</v>
      </c>
      <c r="D14" s="5">
        <f>WORKDAY(C14,G14)</f>
        <v>43490</v>
      </c>
      <c r="E14" s="5"/>
      <c r="F14" s="1">
        <f t="shared" si="2"/>
        <v>42</v>
      </c>
      <c r="G14" s="1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</row>
    <row r="15" spans="1:260">
      <c r="A15" s="4"/>
      <c r="B15" s="1" t="s">
        <v>15</v>
      </c>
      <c r="C15" s="5">
        <v>43288</v>
      </c>
      <c r="D15" s="5">
        <f t="shared" ref="D15:D16" si="4">WORKDAY(C15,G15)</f>
        <v>43305</v>
      </c>
      <c r="E15" s="5"/>
      <c r="F15" s="1">
        <f t="shared" si="2"/>
        <v>17</v>
      </c>
      <c r="G15" s="1">
        <v>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</row>
    <row r="16" spans="1:260">
      <c r="A16" s="4"/>
      <c r="B16" s="1" t="s">
        <v>16</v>
      </c>
      <c r="C16" s="5">
        <f>WORKDAY(D12,-5)</f>
        <v>43411</v>
      </c>
      <c r="D16" s="5">
        <f t="shared" si="4"/>
        <v>43427</v>
      </c>
      <c r="E16" s="5"/>
      <c r="F16" s="1">
        <f t="shared" si="2"/>
        <v>16</v>
      </c>
      <c r="G16" s="1">
        <v>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</row>
    <row r="17" spans="1:260">
      <c r="A17" s="4"/>
      <c r="B17" s="1" t="s">
        <v>17</v>
      </c>
      <c r="C17" s="5">
        <f>WORKDAY(D7,1)</f>
        <v>43356</v>
      </c>
      <c r="D17" s="5">
        <f t="shared" ref="D17" si="5">WORKDAY(C17,G17)</f>
        <v>43412</v>
      </c>
      <c r="E17" s="5"/>
      <c r="F17" s="1">
        <f t="shared" si="2"/>
        <v>56</v>
      </c>
      <c r="G17" s="1">
        <v>40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</row>
    <row r="18" spans="1:260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</row>
    <row r="19" spans="1:260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</row>
    <row r="20" spans="1:260">
      <c r="A20" s="4"/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</row>
    <row r="21" spans="1:26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</row>
    <row r="22" spans="1:26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6">
        <v>43189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</row>
    <row r="23" spans="1:26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</row>
    <row r="24" spans="1:26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</row>
    <row r="25" spans="1:26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</row>
    <row r="26" spans="1:26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</row>
    <row r="27" spans="1:26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</row>
    <row r="28" spans="1:26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</row>
    <row r="29" spans="1:26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</row>
    <row r="30" spans="1:26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</row>
    <row r="31" spans="1:26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</row>
    <row r="32" spans="1:26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</row>
    <row r="33" spans="1:26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</row>
    <row r="34" spans="1:26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</row>
    <row r="35" spans="1:26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</row>
    <row r="36" spans="1:26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</row>
    <row r="37" spans="1:26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</row>
    <row r="38" spans="1:26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</row>
    <row r="39" spans="1:26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</row>
    <row r="40" spans="1:26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</row>
    <row r="41" spans="1:26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</row>
    <row r="42" spans="1:26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</row>
    <row r="43" spans="1:26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</row>
    <row r="44" spans="1:26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</row>
    <row r="45" spans="1:26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</row>
    <row r="46" spans="1:26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</row>
    <row r="47" spans="1:26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</row>
    <row r="48" spans="1:26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</row>
    <row r="49" spans="1:26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</row>
    <row r="50" spans="1:26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</row>
    <row r="51" spans="1:26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</row>
    <row r="52" spans="1:26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</row>
    <row r="53" spans="1:26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</row>
    <row r="54" spans="1:26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</row>
    <row r="55" spans="1:26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</row>
    <row r="56" spans="1:26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</row>
    <row r="57" spans="1:26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</row>
    <row r="58" spans="1:26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</row>
    <row r="59" spans="1:26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</row>
    <row r="60" spans="1:2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</row>
    <row r="61" spans="1:26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</row>
    <row r="62" spans="1:26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</row>
    <row r="63" spans="1:26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</row>
    <row r="64" spans="1:26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</row>
    <row r="65" spans="1:26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</row>
    <row r="66" spans="1:26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</row>
    <row r="67" spans="1:26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</row>
    <row r="68" spans="1:26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</row>
    <row r="69" spans="1:26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</row>
    <row r="70" spans="1:26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</row>
    <row r="71" spans="1:26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</row>
    <row r="72" spans="1:26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</row>
    <row r="73" spans="1:26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</row>
    <row r="74" spans="1:26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</row>
    <row r="75" spans="1:26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</row>
    <row r="76" spans="1:26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</row>
    <row r="77" spans="1:26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</row>
    <row r="78" spans="1:26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</row>
    <row r="79" spans="1:26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</row>
    <row r="80" spans="1:26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</row>
    <row r="81" spans="1:26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</row>
    <row r="82" spans="1:26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</row>
    <row r="83" spans="1:26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</row>
    <row r="84" spans="1:26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</row>
    <row r="85" spans="1:26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</row>
    <row r="86" spans="1:26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</row>
    <row r="87" spans="1:26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</row>
    <row r="88" spans="1:26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</row>
    <row r="89" spans="1:26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</row>
    <row r="90" spans="1:26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</row>
    <row r="91" spans="1:26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</row>
    <row r="92" spans="1:26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</row>
    <row r="93" spans="1:26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</row>
    <row r="94" spans="1:26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</row>
    <row r="95" spans="1:26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</row>
    <row r="96" spans="1:26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</row>
    <row r="97" spans="1:26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</row>
    <row r="98" spans="1:26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</row>
    <row r="99" spans="1:26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</row>
    <row r="100" spans="1:26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</row>
    <row r="101" spans="1:26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</row>
    <row r="102" spans="1:26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</row>
    <row r="103" spans="1:26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</row>
    <row r="104" spans="1:26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</row>
    <row r="105" spans="1:26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</row>
    <row r="106" spans="1:26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</row>
    <row r="107" spans="1:26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</row>
    <row r="108" spans="1:26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</row>
    <row r="109" spans="1:26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</row>
    <row r="110" spans="1:26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</row>
    <row r="111" spans="1:26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</row>
    <row r="112" spans="1:26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</row>
    <row r="113" spans="1:26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</row>
    <row r="114" spans="1:26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</row>
    <row r="115" spans="1:26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</row>
    <row r="116" spans="1:26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</row>
    <row r="117" spans="1:26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</row>
    <row r="118" spans="1:26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</row>
    <row r="119" spans="1:26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</row>
    <row r="120" spans="1:26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</row>
    <row r="121" spans="1:26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</row>
    <row r="122" spans="1:26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</row>
    <row r="123" spans="1:26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</row>
    <row r="124" spans="1:26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</row>
    <row r="125" spans="1:26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</row>
    <row r="126" spans="1:26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</row>
    <row r="127" spans="1:26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</row>
    <row r="128" spans="1:26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</row>
    <row r="129" spans="1:26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</row>
    <row r="130" spans="1:26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</row>
    <row r="131" spans="1:26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</row>
    <row r="132" spans="1:26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</row>
    <row r="133" spans="1:26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</row>
    <row r="134" spans="1:26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</row>
    <row r="135" spans="1:26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</row>
    <row r="136" spans="1:26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</row>
    <row r="137" spans="1:26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</row>
    <row r="138" spans="1:26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</row>
    <row r="139" spans="1:26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</row>
    <row r="140" spans="1:26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</row>
    <row r="141" spans="1:26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</row>
    <row r="142" spans="1:26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</row>
    <row r="143" spans="1:26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</row>
    <row r="144" spans="1:26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</row>
    <row r="145" spans="1:26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</row>
    <row r="146" spans="1:26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</row>
    <row r="147" spans="1:26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</row>
    <row r="148" spans="1:26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</row>
    <row r="149" spans="1:26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</row>
    <row r="150" spans="1:26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</row>
    <row r="151" spans="1:26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</row>
    <row r="152" spans="1:26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</row>
    <row r="153" spans="1:26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</row>
    <row r="154" spans="1:26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</row>
    <row r="155" spans="1:26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</row>
    <row r="156" spans="1:26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</row>
    <row r="157" spans="1:26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</row>
    <row r="158" spans="1:26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</row>
    <row r="159" spans="1:26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</row>
    <row r="160" spans="1:2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</row>
    <row r="161" spans="1:26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</row>
    <row r="162" spans="1:26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</row>
    <row r="163" spans="1:26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</row>
    <row r="164" spans="1:26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</row>
    <row r="165" spans="1:26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</row>
    <row r="166" spans="1:26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</row>
    <row r="167" spans="1:26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</row>
    <row r="168" spans="1:26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</row>
    <row r="169" spans="1:26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</row>
    <row r="170" spans="1:26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</row>
    <row r="171" spans="1:26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</row>
    <row r="172" spans="1:26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</row>
    <row r="173" spans="1:26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</row>
    <row r="174" spans="1:26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</row>
    <row r="175" spans="1:26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</row>
    <row r="176" spans="1:26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</row>
    <row r="177" spans="1:26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</row>
    <row r="178" spans="1:26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</row>
    <row r="179" spans="1:26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</row>
    <row r="180" spans="1:26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</row>
    <row r="181" spans="1:26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</row>
    <row r="182" spans="1:26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</row>
    <row r="183" spans="1:26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</row>
    <row r="184" spans="1:26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</row>
    <row r="185" spans="1:26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</row>
    <row r="186" spans="1:26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</row>
    <row r="187" spans="1:26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</row>
    <row r="188" spans="1:26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</row>
    <row r="189" spans="1:26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</row>
    <row r="190" spans="1:26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</row>
    <row r="191" spans="1:26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</row>
    <row r="192" spans="1:26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</row>
    <row r="193" spans="1:26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</row>
    <row r="194" spans="1:26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</row>
    <row r="195" spans="1:26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</row>
    <row r="196" spans="1:26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</row>
    <row r="197" spans="1:26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</row>
    <row r="198" spans="1:26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</row>
    <row r="199" spans="1:26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</row>
    <row r="200" spans="1:26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</row>
    <row r="201" spans="1:26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</row>
    <row r="202" spans="1:26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</row>
    <row r="203" spans="1:26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</row>
    <row r="204" spans="1:26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</row>
    <row r="205" spans="1:26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</row>
    <row r="206" spans="1:26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</row>
    <row r="207" spans="1:26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</row>
    <row r="208" spans="1:26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</row>
    <row r="209" spans="1:26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</row>
    <row r="210" spans="1:26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</row>
    <row r="211" spans="1:26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</row>
    <row r="212" spans="1:26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</row>
    <row r="213" spans="1:26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</row>
    <row r="214" spans="1:26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</row>
    <row r="215" spans="1:26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</row>
    <row r="216" spans="1:26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</row>
    <row r="217" spans="1:26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</row>
    <row r="218" spans="1:26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</row>
    <row r="219" spans="1:26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</row>
    <row r="220" spans="1:26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</row>
    <row r="221" spans="1:26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</row>
    <row r="222" spans="1:26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</row>
    <row r="223" spans="1:26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</row>
    <row r="224" spans="1:26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</row>
    <row r="225" spans="1:26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</row>
    <row r="226" spans="1:26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</row>
    <row r="227" spans="1:26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</row>
    <row r="228" spans="1:26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</row>
    <row r="229" spans="1:26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</row>
    <row r="230" spans="1:26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</row>
    <row r="231" spans="1:26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</row>
    <row r="232" spans="1:26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</row>
    <row r="233" spans="1:26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</row>
    <row r="234" spans="1:26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</row>
    <row r="235" spans="1:26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</row>
    <row r="236" spans="1:26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</row>
    <row r="237" spans="1:26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</row>
    <row r="238" spans="1:26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</row>
    <row r="239" spans="1:26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</row>
    <row r="240" spans="1:26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</row>
    <row r="241" spans="1:26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</row>
    <row r="242" spans="1:26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</row>
    <row r="243" spans="1:26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</row>
    <row r="244" spans="1:26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</row>
    <row r="245" spans="1:26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</row>
    <row r="246" spans="1:26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</row>
    <row r="247" spans="1:26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</row>
    <row r="248" spans="1:26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</row>
    <row r="249" spans="1:26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</row>
    <row r="250" spans="1:26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</row>
    <row r="251" spans="1:26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</row>
    <row r="252" spans="1:26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</row>
    <row r="253" spans="1:26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</row>
    <row r="254" spans="1:26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</row>
    <row r="255" spans="1:26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</row>
    <row r="256" spans="1:26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</row>
    <row r="257" spans="1:26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</row>
    <row r="258" spans="1:26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</row>
    <row r="259" spans="1:26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</row>
    <row r="260" spans="1: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</row>
    <row r="261" spans="1:26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</row>
    <row r="262" spans="1:26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</row>
    <row r="263" spans="1:26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</row>
    <row r="264" spans="1:26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</row>
    <row r="265" spans="1:26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</row>
    <row r="266" spans="1:26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</row>
    <row r="267" spans="1:26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</row>
    <row r="268" spans="1:26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</row>
    <row r="269" spans="1:26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</row>
    <row r="270" spans="1:26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</row>
    <row r="271" spans="1:26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</row>
    <row r="272" spans="1:26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</row>
    <row r="273" spans="1:28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</row>
    <row r="274" spans="1:28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</row>
    <row r="275" spans="1:28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</row>
    <row r="276" spans="1:28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</row>
    <row r="277" spans="1:28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</row>
    <row r="278" spans="1:28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</row>
    <row r="279" spans="1:28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</row>
    <row r="280" spans="1:28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</row>
    <row r="281" spans="1:28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</row>
    <row r="282" spans="1:28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</row>
    <row r="283" spans="1:28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</row>
    <row r="284" spans="1: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</row>
    <row r="285" spans="1:28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</row>
    <row r="286" spans="1:28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</row>
    <row r="287" spans="1:28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</row>
    <row r="288" spans="1:28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</row>
    <row r="289" spans="1:28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</row>
    <row r="290" spans="1:28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</row>
    <row r="291" spans="1:28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</row>
    <row r="292" spans="1:28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</row>
    <row r="293" spans="1:28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</row>
    <row r="294" spans="1:28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</row>
    <row r="295" spans="1:28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</row>
    <row r="296" spans="1:28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</row>
    <row r="297" spans="1:28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</row>
    <row r="298" spans="1:28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</row>
    <row r="299" spans="1:28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</row>
    <row r="300" spans="1:28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</row>
    <row r="301" spans="1:28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</row>
    <row r="302" spans="1:28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</row>
    <row r="303" spans="1:28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</row>
    <row r="304" spans="1:28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</row>
    <row r="305" spans="1:28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</row>
    <row r="306" spans="1:28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</row>
    <row r="307" spans="1:28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</row>
    <row r="308" spans="1:28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</row>
    <row r="309" spans="1:28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</row>
    <row r="310" spans="1:28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</row>
    <row r="311" spans="1:28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</row>
    <row r="312" spans="1:28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</row>
    <row r="313" spans="1:28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</row>
    <row r="314" spans="1:28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</row>
    <row r="315" spans="1:28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</row>
    <row r="316" spans="1:28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</row>
    <row r="317" spans="1:28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</row>
    <row r="318" spans="1:28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</row>
    <row r="319" spans="1:28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</row>
    <row r="320" spans="1:28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</row>
    <row r="321" spans="1:28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</row>
    <row r="322" spans="1:28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</row>
    <row r="323" spans="1:28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</row>
    <row r="324" spans="1:28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</row>
    <row r="325" spans="1:28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</row>
    <row r="326" spans="1:28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</row>
    <row r="327" spans="1:28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</row>
    <row r="328" spans="1:28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</row>
    <row r="329" spans="1:28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</row>
    <row r="330" spans="1:28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</row>
    <row r="331" spans="1:28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</row>
    <row r="332" spans="1:28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</row>
    <row r="333" spans="1:28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</row>
    <row r="334" spans="1:28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</row>
    <row r="335" spans="1:28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</row>
    <row r="336" spans="1:28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</row>
    <row r="337" spans="1:28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</row>
    <row r="338" spans="1:28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</row>
    <row r="339" spans="1:28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</row>
    <row r="340" spans="1:28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</row>
    <row r="341" spans="1:28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</row>
    <row r="342" spans="1:28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</row>
    <row r="343" spans="1:28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</row>
    <row r="344" spans="1:28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</row>
    <row r="345" spans="1:28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</row>
    <row r="346" spans="1:28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</row>
    <row r="347" spans="1:28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</row>
    <row r="348" spans="1:28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</row>
    <row r="349" spans="1:28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</row>
    <row r="350" spans="1:28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</row>
    <row r="351" spans="1:28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</row>
    <row r="352" spans="1:28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</row>
    <row r="353" spans="1:28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</row>
    <row r="354" spans="1:28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</row>
    <row r="355" spans="1:28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</row>
    <row r="356" spans="1:28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</row>
    <row r="357" spans="1:28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</row>
    <row r="358" spans="1:28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</row>
    <row r="359" spans="1:28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</row>
    <row r="360" spans="1:28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</row>
    <row r="361" spans="1:28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</row>
    <row r="362" spans="1:28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</row>
    <row r="363" spans="1:28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</row>
    <row r="364" spans="1:28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</row>
    <row r="365" spans="1:28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</row>
    <row r="366" spans="1:28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</row>
    <row r="367" spans="1:28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</row>
    <row r="368" spans="1:28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</row>
    <row r="369" spans="1:28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</row>
    <row r="370" spans="1:28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</row>
    <row r="371" spans="1:28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</row>
    <row r="372" spans="1:28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</row>
    <row r="373" spans="1:28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</row>
    <row r="374" spans="1:28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</row>
    <row r="375" spans="1:28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</row>
    <row r="376" spans="1:28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</row>
    <row r="377" spans="1:28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</row>
    <row r="378" spans="1:28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</row>
    <row r="379" spans="1:28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</row>
    <row r="380" spans="1:28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</row>
    <row r="381" spans="1:28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</row>
    <row r="382" spans="1:28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</row>
    <row r="383" spans="1:28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</row>
    <row r="384" spans="1:2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</row>
    <row r="385" spans="1:28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</row>
    <row r="386" spans="1:28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</row>
    <row r="387" spans="1:28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</row>
    <row r="388" spans="1:28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</row>
    <row r="389" spans="1:28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</row>
    <row r="390" spans="1:28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</row>
    <row r="391" spans="1:28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</row>
    <row r="392" spans="1:28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</row>
    <row r="393" spans="1:28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</row>
    <row r="394" spans="1:28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</row>
    <row r="395" spans="1:28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</row>
    <row r="396" spans="1:28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</row>
    <row r="397" spans="1:28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</row>
    <row r="398" spans="1:28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</row>
    <row r="399" spans="1:28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</row>
    <row r="400" spans="1:28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</row>
    <row r="401" spans="1:28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</row>
    <row r="402" spans="1:28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</row>
    <row r="403" spans="1:28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</row>
    <row r="404" spans="1:28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</row>
    <row r="405" spans="1:28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</row>
    <row r="406" spans="1:28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</row>
    <row r="407" spans="1:28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</row>
    <row r="408" spans="1:28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</row>
    <row r="409" spans="1:28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</row>
    <row r="410" spans="1:28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</row>
    <row r="411" spans="1:28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</row>
    <row r="412" spans="1:28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</row>
    <row r="413" spans="1:28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</row>
    <row r="414" spans="1:28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</row>
    <row r="415" spans="1:28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</row>
    <row r="416" spans="1:28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</row>
    <row r="417" spans="1:28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</row>
    <row r="418" spans="1:28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</row>
    <row r="419" spans="1:28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</row>
    <row r="420" spans="1:28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</row>
    <row r="421" spans="1:28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</row>
    <row r="422" spans="1:28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</row>
    <row r="423" spans="1:28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</row>
    <row r="424" spans="1:28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</row>
    <row r="425" spans="1:28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</row>
    <row r="426" spans="1:28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</row>
    <row r="427" spans="1:28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</row>
    <row r="428" spans="1:28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</row>
    <row r="429" spans="1:28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</row>
    <row r="430" spans="1:28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</row>
    <row r="431" spans="1:28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</row>
    <row r="432" spans="1:28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</row>
    <row r="433" spans="1:28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</row>
    <row r="434" spans="1:28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</row>
    <row r="435" spans="1:28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</row>
    <row r="436" spans="1:28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</row>
    <row r="437" spans="1:28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</row>
    <row r="438" spans="1:28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</row>
    <row r="439" spans="1:28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</row>
    <row r="440" spans="1:28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</row>
    <row r="441" spans="1:28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</row>
    <row r="442" spans="1:28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</row>
    <row r="443" spans="1:28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</row>
    <row r="444" spans="1:28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</row>
    <row r="445" spans="1:28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</row>
    <row r="446" spans="1:28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</row>
    <row r="447" spans="1:28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</row>
    <row r="448" spans="1:28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</row>
    <row r="449" spans="1:28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</row>
    <row r="450" spans="1:28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</row>
    <row r="451" spans="1:28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</row>
    <row r="452" spans="1:28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</row>
    <row r="453" spans="1:28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</row>
    <row r="454" spans="1:28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</row>
    <row r="455" spans="1:28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</row>
    <row r="456" spans="1:28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</row>
    <row r="457" spans="1:28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</row>
    <row r="458" spans="1:28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</row>
    <row r="459" spans="1:28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</row>
    <row r="460" spans="1:28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</row>
    <row r="461" spans="1:28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</row>
    <row r="462" spans="1:28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</row>
    <row r="463" spans="1:28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</row>
    <row r="464" spans="1:28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</row>
    <row r="465" spans="1:28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</row>
    <row r="466" spans="1:28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</row>
    <row r="467" spans="1:28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</row>
    <row r="468" spans="1:28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</row>
    <row r="469" spans="1:28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</row>
    <row r="470" spans="1:28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</row>
    <row r="471" spans="1:28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</row>
    <row r="472" spans="1:28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</row>
    <row r="473" spans="1:28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</row>
    <row r="474" spans="1:28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</row>
    <row r="475" spans="1:28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</row>
    <row r="476" spans="1:28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</row>
    <row r="477" spans="1:28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</row>
    <row r="478" spans="1:28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</row>
    <row r="479" spans="1:28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</row>
    <row r="480" spans="1:28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</row>
    <row r="481" spans="1:28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</row>
    <row r="482" spans="1:28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</row>
    <row r="483" spans="1:28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</row>
    <row r="484" spans="1:2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</row>
    <row r="485" spans="1:28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</row>
    <row r="486" spans="1:28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</row>
    <row r="487" spans="1:28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</row>
    <row r="488" spans="1:28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</row>
    <row r="489" spans="1:28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</row>
    <row r="490" spans="1:28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</row>
    <row r="491" spans="1:28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</row>
    <row r="492" spans="1:28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</row>
    <row r="493" spans="1:28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</row>
    <row r="494" spans="1:28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</row>
    <row r="495" spans="1:28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</row>
    <row r="496" spans="1:28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</row>
    <row r="497" spans="1:28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</row>
    <row r="498" spans="1:28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</row>
    <row r="499" spans="1:28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</row>
    <row r="500" spans="1:28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</row>
    <row r="501" spans="1:28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</row>
    <row r="502" spans="1:28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</row>
    <row r="503" spans="1:28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</row>
    <row r="504" spans="1:28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</row>
    <row r="505" spans="1:28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</row>
    <row r="506" spans="1:28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</row>
    <row r="507" spans="1:28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</row>
    <row r="508" spans="1:28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</row>
    <row r="509" spans="1:28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</row>
    <row r="510" spans="1:28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</row>
    <row r="511" spans="1:28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</row>
    <row r="512" spans="1:28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</row>
    <row r="513" spans="1:28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</row>
    <row r="514" spans="1:28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</row>
    <row r="515" spans="1:28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</row>
    <row r="516" spans="1:28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</row>
    <row r="517" spans="1:28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</row>
    <row r="518" spans="1:28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</row>
    <row r="519" spans="1:28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</row>
    <row r="520" spans="1:28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</row>
    <row r="521" spans="1:28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</row>
    <row r="522" spans="1:28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</row>
    <row r="523" spans="1:28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</row>
    <row r="524" spans="1:28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</row>
    <row r="525" spans="1:28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</row>
    <row r="526" spans="1:28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</row>
    <row r="527" spans="1:28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</row>
    <row r="528" spans="1:28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</row>
    <row r="529" spans="1:28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</row>
    <row r="530" spans="1:28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</row>
    <row r="531" spans="1:28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</row>
    <row r="532" spans="1:28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</row>
    <row r="533" spans="1:28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</row>
    <row r="534" spans="1:28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</row>
    <row r="535" spans="1:28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</row>
    <row r="536" spans="1:28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</row>
    <row r="537" spans="1:28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</row>
    <row r="538" spans="1:28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</row>
    <row r="539" spans="1:28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</row>
    <row r="540" spans="1:28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</row>
    <row r="541" spans="1:28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J541" s="2"/>
      <c r="JK541" s="2"/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</row>
    <row r="542" spans="1:28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J542" s="2"/>
      <c r="JK542" s="2"/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</row>
    <row r="543" spans="1:28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J543" s="2"/>
      <c r="JK543" s="2"/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</row>
    <row r="544" spans="1:28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J544" s="2"/>
      <c r="JK544" s="2"/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</row>
    <row r="545" spans="1:28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J545" s="2"/>
      <c r="JK545" s="2"/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</row>
    <row r="546" spans="1:28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J546" s="2"/>
      <c r="JK546" s="2"/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</row>
    <row r="547" spans="1:28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J547" s="2"/>
      <c r="JK547" s="2"/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</row>
    <row r="548" spans="1:28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J548" s="2"/>
      <c r="JK548" s="2"/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</row>
    <row r="549" spans="1:28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J549" s="2"/>
      <c r="JK549" s="2"/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</row>
    <row r="550" spans="1:28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J550" s="2"/>
      <c r="JK550" s="2"/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</row>
    <row r="551" spans="1:28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J551" s="2"/>
      <c r="JK551" s="2"/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</row>
    <row r="552" spans="1:28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J552" s="2"/>
      <c r="JK552" s="2"/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</row>
    <row r="553" spans="1:28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J553" s="2"/>
      <c r="JK553" s="2"/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</row>
    <row r="554" spans="1:28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J554" s="2"/>
      <c r="JK554" s="2"/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</row>
    <row r="555" spans="1:28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J555" s="2"/>
      <c r="JK555" s="2"/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</row>
    <row r="556" spans="1:28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J556" s="2"/>
      <c r="JK556" s="2"/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</row>
    <row r="557" spans="1:28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J557" s="2"/>
      <c r="JK557" s="2"/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</row>
    <row r="558" spans="1:28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J558" s="2"/>
      <c r="JK558" s="2"/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</row>
    <row r="559" spans="1:28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J559" s="2"/>
      <c r="JK559" s="2"/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</row>
    <row r="560" spans="1:28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J560" s="2"/>
      <c r="JK560" s="2"/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</row>
    <row r="561" spans="1:28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J561" s="2"/>
      <c r="JK561" s="2"/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</row>
    <row r="562" spans="1:28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J562" s="2"/>
      <c r="JK562" s="2"/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</row>
    <row r="563" spans="1:28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J563" s="2"/>
      <c r="JK563" s="2"/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</row>
    <row r="564" spans="1:28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  <c r="JJ564" s="2"/>
      <c r="JK564" s="2"/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2"/>
      <c r="JX564" s="2"/>
    </row>
    <row r="565" spans="1:28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  <c r="JJ565" s="2"/>
      <c r="JK565" s="2"/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2"/>
      <c r="JX565" s="2"/>
    </row>
    <row r="566" spans="1:28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  <c r="JJ566" s="2"/>
      <c r="JK566" s="2"/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2"/>
      <c r="JX566" s="2"/>
    </row>
    <row r="567" spans="1:28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  <c r="JJ567" s="2"/>
      <c r="JK567" s="2"/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2"/>
      <c r="JX567" s="2"/>
    </row>
    <row r="568" spans="1:28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  <c r="JJ568" s="2"/>
      <c r="JK568" s="2"/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2"/>
      <c r="JX568" s="2"/>
    </row>
    <row r="569" spans="1:28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  <c r="JJ569" s="2"/>
      <c r="JK569" s="2"/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2"/>
      <c r="JX569" s="2"/>
    </row>
    <row r="570" spans="1:28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  <c r="JJ570" s="2"/>
      <c r="JK570" s="2"/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2"/>
      <c r="JX570" s="2"/>
    </row>
    <row r="571" spans="1:28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  <c r="JJ571" s="2"/>
      <c r="JK571" s="2"/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2"/>
      <c r="JX571" s="2"/>
    </row>
    <row r="572" spans="1:28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  <c r="JJ572" s="2"/>
      <c r="JK572" s="2"/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2"/>
      <c r="JX572" s="2"/>
    </row>
    <row r="573" spans="1:28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  <c r="JJ573" s="2"/>
      <c r="JK573" s="2"/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2"/>
      <c r="JX573" s="2"/>
    </row>
    <row r="574" spans="1:28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  <c r="JJ574" s="2"/>
      <c r="JK574" s="2"/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2"/>
      <c r="JX574" s="2"/>
    </row>
    <row r="575" spans="1:28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  <c r="JJ575" s="2"/>
      <c r="JK575" s="2"/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2"/>
      <c r="JX575" s="2"/>
    </row>
    <row r="576" spans="1:28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  <c r="JJ576" s="2"/>
      <c r="JK576" s="2"/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2"/>
      <c r="JX576" s="2"/>
    </row>
    <row r="577" spans="1:28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  <c r="JJ577" s="2"/>
      <c r="JK577" s="2"/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2"/>
      <c r="JX577" s="2"/>
    </row>
    <row r="578" spans="1:28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  <c r="JJ578" s="2"/>
      <c r="JK578" s="2"/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2"/>
      <c r="JX578" s="2"/>
    </row>
    <row r="579" spans="1:28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  <c r="JJ579" s="2"/>
      <c r="JK579" s="2"/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2"/>
      <c r="JX579" s="2"/>
    </row>
    <row r="580" spans="1:28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  <c r="JJ580" s="2"/>
      <c r="JK580" s="2"/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2"/>
      <c r="JX580" s="2"/>
    </row>
    <row r="581" spans="1:28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  <c r="JJ581" s="2"/>
      <c r="JK581" s="2"/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2"/>
      <c r="JX581" s="2"/>
    </row>
    <row r="582" spans="1:28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  <c r="JJ582" s="2"/>
      <c r="JK582" s="2"/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2"/>
      <c r="JX582" s="2"/>
    </row>
    <row r="583" spans="1:28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  <c r="JJ583" s="2"/>
      <c r="JK583" s="2"/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2"/>
      <c r="JX583" s="2"/>
    </row>
    <row r="584" spans="1:2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  <c r="JJ584" s="2"/>
      <c r="JK584" s="2"/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2"/>
      <c r="JX584" s="2"/>
    </row>
    <row r="585" spans="1:28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  <c r="JJ585" s="2"/>
      <c r="JK585" s="2"/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2"/>
      <c r="JX585" s="2"/>
    </row>
    <row r="586" spans="1:28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  <c r="JJ586" s="2"/>
      <c r="JK586" s="2"/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2"/>
      <c r="JX586" s="2"/>
    </row>
    <row r="587" spans="1:28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  <c r="JJ587" s="2"/>
      <c r="JK587" s="2"/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2"/>
      <c r="JX587" s="2"/>
    </row>
    <row r="588" spans="1:28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  <c r="JJ588" s="2"/>
      <c r="JK588" s="2"/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2"/>
      <c r="JX588" s="2"/>
    </row>
    <row r="589" spans="1:28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  <c r="JJ589" s="2"/>
      <c r="JK589" s="2"/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</row>
    <row r="590" spans="1:28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  <c r="JJ590" s="2"/>
      <c r="JK590" s="2"/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2"/>
      <c r="JX590" s="2"/>
    </row>
    <row r="591" spans="1:28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  <c r="JJ591" s="2"/>
      <c r="JK591" s="2"/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2"/>
      <c r="JX591" s="2"/>
    </row>
    <row r="592" spans="1:28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  <c r="JJ592" s="2"/>
      <c r="JK592" s="2"/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2"/>
      <c r="JX592" s="2"/>
    </row>
    <row r="593" spans="1:28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  <c r="JJ593" s="2"/>
      <c r="JK593" s="2"/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2"/>
      <c r="JX593" s="2"/>
    </row>
    <row r="594" spans="1:28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  <c r="JJ594" s="2"/>
      <c r="JK594" s="2"/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2"/>
      <c r="JX594" s="2"/>
    </row>
    <row r="595" spans="1:28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  <c r="JJ595" s="2"/>
      <c r="JK595" s="2"/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2"/>
      <c r="JX595" s="2"/>
    </row>
    <row r="596" spans="1:28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  <c r="JJ596" s="2"/>
      <c r="JK596" s="2"/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2"/>
      <c r="JX596" s="2"/>
    </row>
    <row r="597" spans="1:28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  <c r="JJ597" s="2"/>
      <c r="JK597" s="2"/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2"/>
      <c r="JX597" s="2"/>
    </row>
    <row r="598" spans="1:28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  <c r="JJ598" s="2"/>
      <c r="JK598" s="2"/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2"/>
      <c r="JX598" s="2"/>
    </row>
    <row r="599" spans="1:28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  <c r="JJ599" s="2"/>
      <c r="JK599" s="2"/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2"/>
      <c r="JX599" s="2"/>
    </row>
    <row r="600" spans="1:28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  <c r="JJ600" s="2"/>
      <c r="JK600" s="2"/>
      <c r="JL600" s="2"/>
      <c r="JM600" s="2"/>
      <c r="JN600" s="2"/>
      <c r="JO600" s="2"/>
      <c r="JP600" s="2"/>
      <c r="JQ600" s="2"/>
      <c r="JR600" s="2"/>
      <c r="JS600" s="2"/>
      <c r="JT600" s="2"/>
      <c r="JU600" s="2"/>
      <c r="JV600" s="2"/>
      <c r="JW600" s="2"/>
      <c r="JX600" s="2"/>
    </row>
    <row r="601" spans="1:28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  <c r="JJ601" s="2"/>
      <c r="JK601" s="2"/>
      <c r="JL601" s="2"/>
      <c r="JM601" s="2"/>
      <c r="JN601" s="2"/>
      <c r="JO601" s="2"/>
      <c r="JP601" s="2"/>
      <c r="JQ601" s="2"/>
      <c r="JR601" s="2"/>
      <c r="JS601" s="2"/>
      <c r="JT601" s="2"/>
      <c r="JU601" s="2"/>
      <c r="JV601" s="2"/>
      <c r="JW601" s="2"/>
      <c r="JX601" s="2"/>
    </row>
    <row r="602" spans="1:28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  <c r="JJ602" s="2"/>
      <c r="JK602" s="2"/>
      <c r="JL602" s="2"/>
      <c r="JM602" s="2"/>
      <c r="JN602" s="2"/>
      <c r="JO602" s="2"/>
      <c r="JP602" s="2"/>
      <c r="JQ602" s="2"/>
      <c r="JR602" s="2"/>
      <c r="JS602" s="2"/>
      <c r="JT602" s="2"/>
      <c r="JU602" s="2"/>
      <c r="JV602" s="2"/>
      <c r="JW602" s="2"/>
      <c r="JX602" s="2"/>
    </row>
    <row r="603" spans="1:28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  <c r="JJ603" s="2"/>
      <c r="JK603" s="2"/>
      <c r="JL603" s="2"/>
      <c r="JM603" s="2"/>
      <c r="JN603" s="2"/>
      <c r="JO603" s="2"/>
      <c r="JP603" s="2"/>
      <c r="JQ603" s="2"/>
      <c r="JR603" s="2"/>
      <c r="JS603" s="2"/>
      <c r="JT603" s="2"/>
      <c r="JU603" s="2"/>
      <c r="JV603" s="2"/>
      <c r="JW603" s="2"/>
      <c r="JX603" s="2"/>
    </row>
    <row r="604" spans="1:28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  <c r="JJ604" s="2"/>
      <c r="JK604" s="2"/>
      <c r="JL604" s="2"/>
      <c r="JM604" s="2"/>
      <c r="JN604" s="2"/>
      <c r="JO604" s="2"/>
      <c r="JP604" s="2"/>
      <c r="JQ604" s="2"/>
      <c r="JR604" s="2"/>
      <c r="JS604" s="2"/>
      <c r="JT604" s="2"/>
      <c r="JU604" s="2"/>
      <c r="JV604" s="2"/>
      <c r="JW604" s="2"/>
      <c r="JX604" s="2"/>
    </row>
    <row r="605" spans="1:28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  <c r="JJ605" s="2"/>
      <c r="JK605" s="2"/>
      <c r="JL605" s="2"/>
      <c r="JM605" s="2"/>
      <c r="JN605" s="2"/>
      <c r="JO605" s="2"/>
      <c r="JP605" s="2"/>
      <c r="JQ605" s="2"/>
      <c r="JR605" s="2"/>
      <c r="JS605" s="2"/>
      <c r="JT605" s="2"/>
      <c r="JU605" s="2"/>
      <c r="JV605" s="2"/>
      <c r="JW605" s="2"/>
      <c r="JX605" s="2"/>
    </row>
    <row r="606" spans="1:28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  <c r="JJ606" s="2"/>
      <c r="JK606" s="2"/>
      <c r="JL606" s="2"/>
      <c r="JM606" s="2"/>
      <c r="JN606" s="2"/>
      <c r="JO606" s="2"/>
      <c r="JP606" s="2"/>
      <c r="JQ606" s="2"/>
      <c r="JR606" s="2"/>
      <c r="JS606" s="2"/>
      <c r="JT606" s="2"/>
      <c r="JU606" s="2"/>
      <c r="JV606" s="2"/>
      <c r="JW606" s="2"/>
      <c r="JX606" s="2"/>
    </row>
    <row r="607" spans="1:28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  <c r="JJ607" s="2"/>
      <c r="JK607" s="2"/>
      <c r="JL607" s="2"/>
      <c r="JM607" s="2"/>
      <c r="JN607" s="2"/>
      <c r="JO607" s="2"/>
      <c r="JP607" s="2"/>
      <c r="JQ607" s="2"/>
      <c r="JR607" s="2"/>
      <c r="JS607" s="2"/>
      <c r="JT607" s="2"/>
      <c r="JU607" s="2"/>
      <c r="JV607" s="2"/>
      <c r="JW607" s="2"/>
      <c r="JX607" s="2"/>
    </row>
    <row r="608" spans="1:28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</row>
    <row r="609" spans="1:28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  <c r="JJ609" s="2"/>
      <c r="JK609" s="2"/>
      <c r="JL609" s="2"/>
      <c r="JM609" s="2"/>
      <c r="JN609" s="2"/>
      <c r="JO609" s="2"/>
      <c r="JP609" s="2"/>
      <c r="JQ609" s="2"/>
      <c r="JR609" s="2"/>
      <c r="JS609" s="2"/>
      <c r="JT609" s="2"/>
      <c r="JU609" s="2"/>
      <c r="JV609" s="2"/>
      <c r="JW609" s="2"/>
      <c r="JX609" s="2"/>
    </row>
    <row r="610" spans="1:28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  <c r="JJ610" s="2"/>
      <c r="JK610" s="2"/>
      <c r="JL610" s="2"/>
      <c r="JM610" s="2"/>
      <c r="JN610" s="2"/>
      <c r="JO610" s="2"/>
      <c r="JP610" s="2"/>
      <c r="JQ610" s="2"/>
      <c r="JR610" s="2"/>
      <c r="JS610" s="2"/>
      <c r="JT610" s="2"/>
      <c r="JU610" s="2"/>
      <c r="JV610" s="2"/>
      <c r="JW610" s="2"/>
      <c r="JX610" s="2"/>
    </row>
    <row r="611" spans="1:28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  <c r="JJ611" s="2"/>
      <c r="JK611" s="2"/>
      <c r="JL611" s="2"/>
      <c r="JM611" s="2"/>
      <c r="JN611" s="2"/>
      <c r="JO611" s="2"/>
      <c r="JP611" s="2"/>
      <c r="JQ611" s="2"/>
      <c r="JR611" s="2"/>
      <c r="JS611" s="2"/>
      <c r="JT611" s="2"/>
      <c r="JU611" s="2"/>
      <c r="JV611" s="2"/>
      <c r="JW611" s="2"/>
      <c r="JX611" s="2"/>
    </row>
    <row r="612" spans="1:28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  <c r="JJ612" s="2"/>
      <c r="JK612" s="2"/>
      <c r="JL612" s="2"/>
      <c r="JM612" s="2"/>
      <c r="JN612" s="2"/>
      <c r="JO612" s="2"/>
      <c r="JP612" s="2"/>
      <c r="JQ612" s="2"/>
      <c r="JR612" s="2"/>
      <c r="JS612" s="2"/>
      <c r="JT612" s="2"/>
      <c r="JU612" s="2"/>
      <c r="JV612" s="2"/>
      <c r="JW612" s="2"/>
      <c r="JX612" s="2"/>
    </row>
    <row r="613" spans="1:28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  <c r="JJ613" s="2"/>
      <c r="JK613" s="2"/>
      <c r="JL613" s="2"/>
      <c r="JM613" s="2"/>
      <c r="JN613" s="2"/>
      <c r="JO613" s="2"/>
      <c r="JP613" s="2"/>
      <c r="JQ613" s="2"/>
      <c r="JR613" s="2"/>
      <c r="JS613" s="2"/>
      <c r="JT613" s="2"/>
      <c r="JU613" s="2"/>
      <c r="JV613" s="2"/>
      <c r="JW613" s="2"/>
      <c r="JX613" s="2"/>
    </row>
    <row r="614" spans="1:28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  <c r="JJ614" s="2"/>
      <c r="JK614" s="2"/>
      <c r="JL614" s="2"/>
      <c r="JM614" s="2"/>
      <c r="JN614" s="2"/>
      <c r="JO614" s="2"/>
      <c r="JP614" s="2"/>
      <c r="JQ614" s="2"/>
      <c r="JR614" s="2"/>
      <c r="JS614" s="2"/>
      <c r="JT614" s="2"/>
      <c r="JU614" s="2"/>
      <c r="JV614" s="2"/>
      <c r="JW614" s="2"/>
      <c r="JX614" s="2"/>
    </row>
    <row r="615" spans="1:28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  <c r="JJ615" s="2"/>
      <c r="JK615" s="2"/>
      <c r="JL615" s="2"/>
      <c r="JM615" s="2"/>
      <c r="JN615" s="2"/>
      <c r="JO615" s="2"/>
      <c r="JP615" s="2"/>
      <c r="JQ615" s="2"/>
      <c r="JR615" s="2"/>
      <c r="JS615" s="2"/>
      <c r="JT615" s="2"/>
      <c r="JU615" s="2"/>
      <c r="JV615" s="2"/>
      <c r="JW615" s="2"/>
      <c r="JX615" s="2"/>
    </row>
    <row r="616" spans="1:28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  <c r="JJ616" s="2"/>
      <c r="JK616" s="2"/>
      <c r="JL616" s="2"/>
      <c r="JM616" s="2"/>
      <c r="JN616" s="2"/>
      <c r="JO616" s="2"/>
      <c r="JP616" s="2"/>
      <c r="JQ616" s="2"/>
      <c r="JR616" s="2"/>
      <c r="JS616" s="2"/>
      <c r="JT616" s="2"/>
      <c r="JU616" s="2"/>
      <c r="JV616" s="2"/>
      <c r="JW616" s="2"/>
      <c r="JX616" s="2"/>
    </row>
    <row r="617" spans="1:28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  <c r="JJ617" s="2"/>
      <c r="JK617" s="2"/>
      <c r="JL617" s="2"/>
      <c r="JM617" s="2"/>
      <c r="JN617" s="2"/>
      <c r="JO617" s="2"/>
      <c r="JP617" s="2"/>
      <c r="JQ617" s="2"/>
      <c r="JR617" s="2"/>
      <c r="JS617" s="2"/>
      <c r="JT617" s="2"/>
      <c r="JU617" s="2"/>
      <c r="JV617" s="2"/>
      <c r="JW617" s="2"/>
      <c r="JX617" s="2"/>
    </row>
    <row r="618" spans="1:28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  <c r="JJ618" s="2"/>
      <c r="JK618" s="2"/>
      <c r="JL618" s="2"/>
      <c r="JM618" s="2"/>
      <c r="JN618" s="2"/>
      <c r="JO618" s="2"/>
      <c r="JP618" s="2"/>
      <c r="JQ618" s="2"/>
      <c r="JR618" s="2"/>
      <c r="JS618" s="2"/>
      <c r="JT618" s="2"/>
      <c r="JU618" s="2"/>
      <c r="JV618" s="2"/>
      <c r="JW618" s="2"/>
      <c r="JX618" s="2"/>
    </row>
    <row r="619" spans="1:28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  <c r="JJ619" s="2"/>
      <c r="JK619" s="2"/>
      <c r="JL619" s="2"/>
      <c r="JM619" s="2"/>
      <c r="JN619" s="2"/>
      <c r="JO619" s="2"/>
      <c r="JP619" s="2"/>
      <c r="JQ619" s="2"/>
      <c r="JR619" s="2"/>
      <c r="JS619" s="2"/>
      <c r="JT619" s="2"/>
      <c r="JU619" s="2"/>
      <c r="JV619" s="2"/>
      <c r="JW619" s="2"/>
      <c r="JX619" s="2"/>
    </row>
    <row r="620" spans="1:28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  <c r="JJ620" s="2"/>
      <c r="JK620" s="2"/>
      <c r="JL620" s="2"/>
      <c r="JM620" s="2"/>
      <c r="JN620" s="2"/>
      <c r="JO620" s="2"/>
      <c r="JP620" s="2"/>
      <c r="JQ620" s="2"/>
      <c r="JR620" s="2"/>
      <c r="JS620" s="2"/>
      <c r="JT620" s="2"/>
      <c r="JU620" s="2"/>
      <c r="JV620" s="2"/>
      <c r="JW620" s="2"/>
      <c r="JX620" s="2"/>
    </row>
    <row r="621" spans="1:28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  <c r="JJ621" s="2"/>
      <c r="JK621" s="2"/>
      <c r="JL621" s="2"/>
      <c r="JM621" s="2"/>
      <c r="JN621" s="2"/>
      <c r="JO621" s="2"/>
      <c r="JP621" s="2"/>
      <c r="JQ621" s="2"/>
      <c r="JR621" s="2"/>
      <c r="JS621" s="2"/>
      <c r="JT621" s="2"/>
      <c r="JU621" s="2"/>
      <c r="JV621" s="2"/>
      <c r="JW621" s="2"/>
      <c r="JX621" s="2"/>
    </row>
    <row r="622" spans="1:28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  <c r="JJ622" s="2"/>
      <c r="JK622" s="2"/>
      <c r="JL622" s="2"/>
      <c r="JM622" s="2"/>
      <c r="JN622" s="2"/>
      <c r="JO622" s="2"/>
      <c r="JP622" s="2"/>
      <c r="JQ622" s="2"/>
      <c r="JR622" s="2"/>
      <c r="JS622" s="2"/>
      <c r="JT622" s="2"/>
      <c r="JU622" s="2"/>
      <c r="JV622" s="2"/>
      <c r="JW622" s="2"/>
      <c r="JX622" s="2"/>
    </row>
    <row r="623" spans="1:28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  <c r="JJ623" s="2"/>
      <c r="JK623" s="2"/>
      <c r="JL623" s="2"/>
      <c r="JM623" s="2"/>
      <c r="JN623" s="2"/>
      <c r="JO623" s="2"/>
      <c r="JP623" s="2"/>
      <c r="JQ623" s="2"/>
      <c r="JR623" s="2"/>
      <c r="JS623" s="2"/>
      <c r="JT623" s="2"/>
      <c r="JU623" s="2"/>
      <c r="JV623" s="2"/>
      <c r="JW623" s="2"/>
      <c r="JX623" s="2"/>
    </row>
    <row r="624" spans="1:28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  <c r="JJ624" s="2"/>
      <c r="JK624" s="2"/>
      <c r="JL624" s="2"/>
      <c r="JM624" s="2"/>
      <c r="JN624" s="2"/>
      <c r="JO624" s="2"/>
      <c r="JP624" s="2"/>
      <c r="JQ624" s="2"/>
      <c r="JR624" s="2"/>
      <c r="JS624" s="2"/>
      <c r="JT624" s="2"/>
      <c r="JU624" s="2"/>
      <c r="JV624" s="2"/>
      <c r="JW624" s="2"/>
      <c r="JX624" s="2"/>
    </row>
    <row r="625" spans="1:28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  <c r="JJ625" s="2"/>
      <c r="JK625" s="2"/>
      <c r="JL625" s="2"/>
      <c r="JM625" s="2"/>
      <c r="JN625" s="2"/>
      <c r="JO625" s="2"/>
      <c r="JP625" s="2"/>
      <c r="JQ625" s="2"/>
      <c r="JR625" s="2"/>
      <c r="JS625" s="2"/>
      <c r="JT625" s="2"/>
      <c r="JU625" s="2"/>
      <c r="JV625" s="2"/>
      <c r="JW625" s="2"/>
      <c r="JX625" s="2"/>
    </row>
    <row r="626" spans="1:28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  <c r="JJ626" s="2"/>
      <c r="JK626" s="2"/>
      <c r="JL626" s="2"/>
      <c r="JM626" s="2"/>
      <c r="JN626" s="2"/>
      <c r="JO626" s="2"/>
      <c r="JP626" s="2"/>
      <c r="JQ626" s="2"/>
      <c r="JR626" s="2"/>
      <c r="JS626" s="2"/>
      <c r="JT626" s="2"/>
      <c r="JU626" s="2"/>
      <c r="JV626" s="2"/>
      <c r="JW626" s="2"/>
      <c r="JX626" s="2"/>
    </row>
    <row r="627" spans="1:28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  <c r="JJ627" s="2"/>
      <c r="JK627" s="2"/>
      <c r="JL627" s="2"/>
      <c r="JM627" s="2"/>
      <c r="JN627" s="2"/>
      <c r="JO627" s="2"/>
      <c r="JP627" s="2"/>
      <c r="JQ627" s="2"/>
      <c r="JR627" s="2"/>
      <c r="JS627" s="2"/>
      <c r="JT627" s="2"/>
      <c r="JU627" s="2"/>
      <c r="JV627" s="2"/>
      <c r="JW627" s="2"/>
      <c r="JX627" s="2"/>
    </row>
    <row r="628" spans="1:28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  <c r="JJ628" s="2"/>
      <c r="JK628" s="2"/>
      <c r="JL628" s="2"/>
      <c r="JM628" s="2"/>
      <c r="JN628" s="2"/>
      <c r="JO628" s="2"/>
      <c r="JP628" s="2"/>
      <c r="JQ628" s="2"/>
      <c r="JR628" s="2"/>
      <c r="JS628" s="2"/>
      <c r="JT628" s="2"/>
      <c r="JU628" s="2"/>
      <c r="JV628" s="2"/>
      <c r="JW628" s="2"/>
      <c r="JX628" s="2"/>
    </row>
    <row r="629" spans="1:28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  <c r="JJ629" s="2"/>
      <c r="JK629" s="2"/>
      <c r="JL629" s="2"/>
      <c r="JM629" s="2"/>
      <c r="JN629" s="2"/>
      <c r="JO629" s="2"/>
      <c r="JP629" s="2"/>
      <c r="JQ629" s="2"/>
      <c r="JR629" s="2"/>
      <c r="JS629" s="2"/>
      <c r="JT629" s="2"/>
      <c r="JU629" s="2"/>
      <c r="JV629" s="2"/>
      <c r="JW629" s="2"/>
      <c r="JX629" s="2"/>
    </row>
    <row r="630" spans="1:28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  <c r="JJ630" s="2"/>
      <c r="JK630" s="2"/>
      <c r="JL630" s="2"/>
      <c r="JM630" s="2"/>
      <c r="JN630" s="2"/>
      <c r="JO630" s="2"/>
      <c r="JP630" s="2"/>
      <c r="JQ630" s="2"/>
      <c r="JR630" s="2"/>
      <c r="JS630" s="2"/>
      <c r="JT630" s="2"/>
      <c r="JU630" s="2"/>
      <c r="JV630" s="2"/>
      <c r="JW630" s="2"/>
      <c r="JX630" s="2"/>
    </row>
    <row r="631" spans="1:28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  <c r="JJ631" s="2"/>
      <c r="JK631" s="2"/>
      <c r="JL631" s="2"/>
      <c r="JM631" s="2"/>
      <c r="JN631" s="2"/>
      <c r="JO631" s="2"/>
      <c r="JP631" s="2"/>
      <c r="JQ631" s="2"/>
      <c r="JR631" s="2"/>
      <c r="JS631" s="2"/>
      <c r="JT631" s="2"/>
      <c r="JU631" s="2"/>
      <c r="JV631" s="2"/>
      <c r="JW631" s="2"/>
      <c r="JX631" s="2"/>
    </row>
    <row r="632" spans="1:28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  <c r="JJ632" s="2"/>
      <c r="JK632" s="2"/>
      <c r="JL632" s="2"/>
      <c r="JM632" s="2"/>
      <c r="JN632" s="2"/>
      <c r="JO632" s="2"/>
      <c r="JP632" s="2"/>
      <c r="JQ632" s="2"/>
      <c r="JR632" s="2"/>
      <c r="JS632" s="2"/>
      <c r="JT632" s="2"/>
      <c r="JU632" s="2"/>
      <c r="JV632" s="2"/>
      <c r="JW632" s="2"/>
      <c r="JX632" s="2"/>
    </row>
    <row r="633" spans="1:28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  <c r="JJ633" s="2"/>
      <c r="JK633" s="2"/>
      <c r="JL633" s="2"/>
      <c r="JM633" s="2"/>
      <c r="JN633" s="2"/>
      <c r="JO633" s="2"/>
      <c r="JP633" s="2"/>
      <c r="JQ633" s="2"/>
      <c r="JR633" s="2"/>
      <c r="JS633" s="2"/>
      <c r="JT633" s="2"/>
      <c r="JU633" s="2"/>
      <c r="JV633" s="2"/>
      <c r="JW633" s="2"/>
      <c r="JX633" s="2"/>
    </row>
    <row r="634" spans="1:28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  <c r="JJ634" s="2"/>
      <c r="JK634" s="2"/>
      <c r="JL634" s="2"/>
      <c r="JM634" s="2"/>
      <c r="JN634" s="2"/>
      <c r="JO634" s="2"/>
      <c r="JP634" s="2"/>
      <c r="JQ634" s="2"/>
      <c r="JR634" s="2"/>
      <c r="JS634" s="2"/>
      <c r="JT634" s="2"/>
      <c r="JU634" s="2"/>
      <c r="JV634" s="2"/>
      <c r="JW634" s="2"/>
      <c r="JX634" s="2"/>
    </row>
    <row r="635" spans="1:28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  <c r="JJ635" s="2"/>
      <c r="JK635" s="2"/>
      <c r="JL635" s="2"/>
      <c r="JM635" s="2"/>
      <c r="JN635" s="2"/>
      <c r="JO635" s="2"/>
      <c r="JP635" s="2"/>
      <c r="JQ635" s="2"/>
      <c r="JR635" s="2"/>
      <c r="JS635" s="2"/>
      <c r="JT635" s="2"/>
      <c r="JU635" s="2"/>
      <c r="JV635" s="2"/>
      <c r="JW635" s="2"/>
      <c r="JX635" s="2"/>
    </row>
    <row r="636" spans="1:28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  <c r="JJ636" s="2"/>
      <c r="JK636" s="2"/>
      <c r="JL636" s="2"/>
      <c r="JM636" s="2"/>
      <c r="JN636" s="2"/>
      <c r="JO636" s="2"/>
      <c r="JP636" s="2"/>
      <c r="JQ636" s="2"/>
      <c r="JR636" s="2"/>
      <c r="JS636" s="2"/>
      <c r="JT636" s="2"/>
      <c r="JU636" s="2"/>
      <c r="JV636" s="2"/>
      <c r="JW636" s="2"/>
      <c r="JX636" s="2"/>
    </row>
    <row r="637" spans="1:28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  <c r="JJ637" s="2"/>
      <c r="JK637" s="2"/>
      <c r="JL637" s="2"/>
      <c r="JM637" s="2"/>
      <c r="JN637" s="2"/>
      <c r="JO637" s="2"/>
      <c r="JP637" s="2"/>
      <c r="JQ637" s="2"/>
      <c r="JR637" s="2"/>
      <c r="JS637" s="2"/>
      <c r="JT637" s="2"/>
      <c r="JU637" s="2"/>
      <c r="JV637" s="2"/>
      <c r="JW637" s="2"/>
      <c r="JX637" s="2"/>
    </row>
    <row r="638" spans="1:28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  <c r="JJ638" s="2"/>
      <c r="JK638" s="2"/>
      <c r="JL638" s="2"/>
      <c r="JM638" s="2"/>
      <c r="JN638" s="2"/>
      <c r="JO638" s="2"/>
      <c r="JP638" s="2"/>
      <c r="JQ638" s="2"/>
      <c r="JR638" s="2"/>
      <c r="JS638" s="2"/>
      <c r="JT638" s="2"/>
      <c r="JU638" s="2"/>
      <c r="JV638" s="2"/>
      <c r="JW638" s="2"/>
      <c r="JX638" s="2"/>
    </row>
    <row r="639" spans="1:28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  <c r="JJ639" s="2"/>
      <c r="JK639" s="2"/>
      <c r="JL639" s="2"/>
      <c r="JM639" s="2"/>
      <c r="JN639" s="2"/>
      <c r="JO639" s="2"/>
      <c r="JP639" s="2"/>
      <c r="JQ639" s="2"/>
      <c r="JR639" s="2"/>
      <c r="JS639" s="2"/>
      <c r="JT639" s="2"/>
      <c r="JU639" s="2"/>
      <c r="JV639" s="2"/>
      <c r="JW639" s="2"/>
      <c r="JX639" s="2"/>
    </row>
    <row r="640" spans="1:28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  <c r="JJ640" s="2"/>
      <c r="JK640" s="2"/>
      <c r="JL640" s="2"/>
      <c r="JM640" s="2"/>
      <c r="JN640" s="2"/>
      <c r="JO640" s="2"/>
      <c r="JP640" s="2"/>
      <c r="JQ640" s="2"/>
      <c r="JR640" s="2"/>
      <c r="JS640" s="2"/>
      <c r="JT640" s="2"/>
      <c r="JU640" s="2"/>
      <c r="JV640" s="2"/>
      <c r="JW640" s="2"/>
      <c r="JX640" s="2"/>
    </row>
    <row r="641" spans="1:28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  <c r="JJ641" s="2"/>
      <c r="JK641" s="2"/>
      <c r="JL641" s="2"/>
      <c r="JM641" s="2"/>
      <c r="JN641" s="2"/>
      <c r="JO641" s="2"/>
      <c r="JP641" s="2"/>
      <c r="JQ641" s="2"/>
      <c r="JR641" s="2"/>
      <c r="JS641" s="2"/>
      <c r="JT641" s="2"/>
      <c r="JU641" s="2"/>
      <c r="JV641" s="2"/>
      <c r="JW641" s="2"/>
      <c r="JX641" s="2"/>
    </row>
    <row r="642" spans="1:28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  <c r="JJ642" s="2"/>
      <c r="JK642" s="2"/>
      <c r="JL642" s="2"/>
      <c r="JM642" s="2"/>
      <c r="JN642" s="2"/>
      <c r="JO642" s="2"/>
      <c r="JP642" s="2"/>
      <c r="JQ642" s="2"/>
      <c r="JR642" s="2"/>
      <c r="JS642" s="2"/>
      <c r="JT642" s="2"/>
      <c r="JU642" s="2"/>
      <c r="JV642" s="2"/>
      <c r="JW642" s="2"/>
      <c r="JX642" s="2"/>
    </row>
    <row r="643" spans="1:28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  <c r="JJ643" s="2"/>
      <c r="JK643" s="2"/>
      <c r="JL643" s="2"/>
      <c r="JM643" s="2"/>
      <c r="JN643" s="2"/>
      <c r="JO643" s="2"/>
      <c r="JP643" s="2"/>
      <c r="JQ643" s="2"/>
      <c r="JR643" s="2"/>
      <c r="JS643" s="2"/>
      <c r="JT643" s="2"/>
      <c r="JU643" s="2"/>
      <c r="JV643" s="2"/>
      <c r="JW643" s="2"/>
      <c r="JX643" s="2"/>
    </row>
    <row r="644" spans="1:28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  <c r="JJ644" s="2"/>
      <c r="JK644" s="2"/>
      <c r="JL644" s="2"/>
      <c r="JM644" s="2"/>
      <c r="JN644" s="2"/>
      <c r="JO644" s="2"/>
      <c r="JP644" s="2"/>
      <c r="JQ644" s="2"/>
      <c r="JR644" s="2"/>
      <c r="JS644" s="2"/>
      <c r="JT644" s="2"/>
      <c r="JU644" s="2"/>
      <c r="JV644" s="2"/>
      <c r="JW644" s="2"/>
      <c r="JX644" s="2"/>
    </row>
    <row r="645" spans="1:28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  <c r="JJ645" s="2"/>
      <c r="JK645" s="2"/>
      <c r="JL645" s="2"/>
      <c r="JM645" s="2"/>
      <c r="JN645" s="2"/>
      <c r="JO645" s="2"/>
      <c r="JP645" s="2"/>
      <c r="JQ645" s="2"/>
      <c r="JR645" s="2"/>
      <c r="JS645" s="2"/>
      <c r="JT645" s="2"/>
      <c r="JU645" s="2"/>
      <c r="JV645" s="2"/>
      <c r="JW645" s="2"/>
      <c r="JX645" s="2"/>
    </row>
    <row r="646" spans="1:28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  <c r="JJ646" s="2"/>
      <c r="JK646" s="2"/>
      <c r="JL646" s="2"/>
      <c r="JM646" s="2"/>
      <c r="JN646" s="2"/>
      <c r="JO646" s="2"/>
      <c r="JP646" s="2"/>
      <c r="JQ646" s="2"/>
      <c r="JR646" s="2"/>
      <c r="JS646" s="2"/>
      <c r="JT646" s="2"/>
      <c r="JU646" s="2"/>
      <c r="JV646" s="2"/>
      <c r="JW646" s="2"/>
      <c r="JX646" s="2"/>
    </row>
    <row r="647" spans="1:28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  <c r="JJ647" s="2"/>
      <c r="JK647" s="2"/>
      <c r="JL647" s="2"/>
      <c r="JM647" s="2"/>
      <c r="JN647" s="2"/>
      <c r="JO647" s="2"/>
      <c r="JP647" s="2"/>
      <c r="JQ647" s="2"/>
      <c r="JR647" s="2"/>
      <c r="JS647" s="2"/>
      <c r="JT647" s="2"/>
      <c r="JU647" s="2"/>
      <c r="JV647" s="2"/>
      <c r="JW647" s="2"/>
      <c r="JX647" s="2"/>
    </row>
    <row r="648" spans="1:28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  <c r="JJ648" s="2"/>
      <c r="JK648" s="2"/>
      <c r="JL648" s="2"/>
      <c r="JM648" s="2"/>
      <c r="JN648" s="2"/>
      <c r="JO648" s="2"/>
      <c r="JP648" s="2"/>
      <c r="JQ648" s="2"/>
      <c r="JR648" s="2"/>
      <c r="JS648" s="2"/>
      <c r="JT648" s="2"/>
      <c r="JU648" s="2"/>
      <c r="JV648" s="2"/>
      <c r="JW648" s="2"/>
      <c r="JX648" s="2"/>
    </row>
    <row r="649" spans="1:28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  <c r="JJ649" s="2"/>
      <c r="JK649" s="2"/>
      <c r="JL649" s="2"/>
      <c r="JM649" s="2"/>
      <c r="JN649" s="2"/>
      <c r="JO649" s="2"/>
      <c r="JP649" s="2"/>
      <c r="JQ649" s="2"/>
      <c r="JR649" s="2"/>
      <c r="JS649" s="2"/>
      <c r="JT649" s="2"/>
      <c r="JU649" s="2"/>
      <c r="JV649" s="2"/>
      <c r="JW649" s="2"/>
      <c r="JX649" s="2"/>
    </row>
    <row r="650" spans="1:28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  <c r="JJ650" s="2"/>
      <c r="JK650" s="2"/>
      <c r="JL650" s="2"/>
      <c r="JM650" s="2"/>
      <c r="JN650" s="2"/>
      <c r="JO650" s="2"/>
      <c r="JP650" s="2"/>
      <c r="JQ650" s="2"/>
      <c r="JR650" s="2"/>
      <c r="JS650" s="2"/>
      <c r="JT650" s="2"/>
      <c r="JU650" s="2"/>
      <c r="JV650" s="2"/>
      <c r="JW650" s="2"/>
      <c r="JX650" s="2"/>
    </row>
    <row r="651" spans="1:28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  <c r="JJ651" s="2"/>
      <c r="JK651" s="2"/>
      <c r="JL651" s="2"/>
      <c r="JM651" s="2"/>
      <c r="JN651" s="2"/>
      <c r="JO651" s="2"/>
      <c r="JP651" s="2"/>
      <c r="JQ651" s="2"/>
      <c r="JR651" s="2"/>
      <c r="JS651" s="2"/>
      <c r="JT651" s="2"/>
      <c r="JU651" s="2"/>
      <c r="JV651" s="2"/>
      <c r="JW651" s="2"/>
      <c r="JX651" s="2"/>
    </row>
    <row r="652" spans="1:28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  <c r="JJ652" s="2"/>
      <c r="JK652" s="2"/>
      <c r="JL652" s="2"/>
      <c r="JM652" s="2"/>
      <c r="JN652" s="2"/>
      <c r="JO652" s="2"/>
      <c r="JP652" s="2"/>
      <c r="JQ652" s="2"/>
      <c r="JR652" s="2"/>
      <c r="JS652" s="2"/>
      <c r="JT652" s="2"/>
      <c r="JU652" s="2"/>
      <c r="JV652" s="2"/>
      <c r="JW652" s="2"/>
      <c r="JX652" s="2"/>
    </row>
    <row r="653" spans="1:28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  <c r="JJ653" s="2"/>
      <c r="JK653" s="2"/>
      <c r="JL653" s="2"/>
      <c r="JM653" s="2"/>
      <c r="JN653" s="2"/>
      <c r="JO653" s="2"/>
      <c r="JP653" s="2"/>
      <c r="JQ653" s="2"/>
      <c r="JR653" s="2"/>
      <c r="JS653" s="2"/>
      <c r="JT653" s="2"/>
      <c r="JU653" s="2"/>
      <c r="JV653" s="2"/>
      <c r="JW653" s="2"/>
      <c r="JX653" s="2"/>
    </row>
    <row r="654" spans="1:28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  <c r="JJ654" s="2"/>
      <c r="JK654" s="2"/>
      <c r="JL654" s="2"/>
      <c r="JM654" s="2"/>
      <c r="JN654" s="2"/>
      <c r="JO654" s="2"/>
      <c r="JP654" s="2"/>
      <c r="JQ654" s="2"/>
      <c r="JR654" s="2"/>
      <c r="JS654" s="2"/>
      <c r="JT654" s="2"/>
      <c r="JU654" s="2"/>
      <c r="JV654" s="2"/>
      <c r="JW654" s="2"/>
      <c r="JX654" s="2"/>
    </row>
    <row r="655" spans="1:28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  <c r="JJ655" s="2"/>
      <c r="JK655" s="2"/>
      <c r="JL655" s="2"/>
      <c r="JM655" s="2"/>
      <c r="JN655" s="2"/>
      <c r="JO655" s="2"/>
      <c r="JP655" s="2"/>
      <c r="JQ655" s="2"/>
      <c r="JR655" s="2"/>
      <c r="JS655" s="2"/>
      <c r="JT655" s="2"/>
      <c r="JU655" s="2"/>
      <c r="JV655" s="2"/>
      <c r="JW655" s="2"/>
      <c r="JX655" s="2"/>
    </row>
    <row r="656" spans="1:28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  <c r="JJ656" s="2"/>
      <c r="JK656" s="2"/>
      <c r="JL656" s="2"/>
      <c r="JM656" s="2"/>
      <c r="JN656" s="2"/>
      <c r="JO656" s="2"/>
      <c r="JP656" s="2"/>
      <c r="JQ656" s="2"/>
      <c r="JR656" s="2"/>
      <c r="JS656" s="2"/>
      <c r="JT656" s="2"/>
      <c r="JU656" s="2"/>
      <c r="JV656" s="2"/>
      <c r="JW656" s="2"/>
      <c r="JX656" s="2"/>
    </row>
    <row r="657" spans="1:28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  <c r="JJ657" s="2"/>
      <c r="JK657" s="2"/>
      <c r="JL657" s="2"/>
      <c r="JM657" s="2"/>
      <c r="JN657" s="2"/>
      <c r="JO657" s="2"/>
      <c r="JP657" s="2"/>
      <c r="JQ657" s="2"/>
      <c r="JR657" s="2"/>
      <c r="JS657" s="2"/>
      <c r="JT657" s="2"/>
      <c r="JU657" s="2"/>
      <c r="JV657" s="2"/>
      <c r="JW657" s="2"/>
      <c r="JX657" s="2"/>
    </row>
    <row r="658" spans="1:28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  <c r="JJ658" s="2"/>
      <c r="JK658" s="2"/>
      <c r="JL658" s="2"/>
      <c r="JM658" s="2"/>
      <c r="JN658" s="2"/>
      <c r="JO658" s="2"/>
      <c r="JP658" s="2"/>
      <c r="JQ658" s="2"/>
      <c r="JR658" s="2"/>
      <c r="JS658" s="2"/>
      <c r="JT658" s="2"/>
      <c r="JU658" s="2"/>
      <c r="JV658" s="2"/>
      <c r="JW658" s="2"/>
      <c r="JX658" s="2"/>
    </row>
    <row r="659" spans="1:28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  <c r="JJ659" s="2"/>
      <c r="JK659" s="2"/>
      <c r="JL659" s="2"/>
      <c r="JM659" s="2"/>
      <c r="JN659" s="2"/>
      <c r="JO659" s="2"/>
      <c r="JP659" s="2"/>
      <c r="JQ659" s="2"/>
      <c r="JR659" s="2"/>
      <c r="JS659" s="2"/>
      <c r="JT659" s="2"/>
      <c r="JU659" s="2"/>
      <c r="JV659" s="2"/>
      <c r="JW659" s="2"/>
      <c r="JX659" s="2"/>
    </row>
    <row r="660" spans="1:28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  <c r="JJ660" s="2"/>
      <c r="JK660" s="2"/>
      <c r="JL660" s="2"/>
      <c r="JM660" s="2"/>
      <c r="JN660" s="2"/>
      <c r="JO660" s="2"/>
      <c r="JP660" s="2"/>
      <c r="JQ660" s="2"/>
      <c r="JR660" s="2"/>
      <c r="JS660" s="2"/>
      <c r="JT660" s="2"/>
      <c r="JU660" s="2"/>
      <c r="JV660" s="2"/>
      <c r="JW660" s="2"/>
      <c r="JX660" s="2"/>
    </row>
    <row r="661" spans="1:28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  <c r="JJ661" s="2"/>
      <c r="JK661" s="2"/>
      <c r="JL661" s="2"/>
      <c r="JM661" s="2"/>
      <c r="JN661" s="2"/>
      <c r="JO661" s="2"/>
      <c r="JP661" s="2"/>
      <c r="JQ661" s="2"/>
      <c r="JR661" s="2"/>
      <c r="JS661" s="2"/>
      <c r="JT661" s="2"/>
      <c r="JU661" s="2"/>
      <c r="JV661" s="2"/>
      <c r="JW661" s="2"/>
      <c r="JX661" s="2"/>
    </row>
    <row r="662" spans="1:28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  <c r="JJ662" s="2"/>
      <c r="JK662" s="2"/>
      <c r="JL662" s="2"/>
      <c r="JM662" s="2"/>
      <c r="JN662" s="2"/>
      <c r="JO662" s="2"/>
      <c r="JP662" s="2"/>
      <c r="JQ662" s="2"/>
      <c r="JR662" s="2"/>
      <c r="JS662" s="2"/>
      <c r="JT662" s="2"/>
      <c r="JU662" s="2"/>
      <c r="JV662" s="2"/>
      <c r="JW662" s="2"/>
      <c r="JX662" s="2"/>
    </row>
    <row r="663" spans="1:28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  <c r="JJ663" s="2"/>
      <c r="JK663" s="2"/>
      <c r="JL663" s="2"/>
      <c r="JM663" s="2"/>
      <c r="JN663" s="2"/>
      <c r="JO663" s="2"/>
      <c r="JP663" s="2"/>
      <c r="JQ663" s="2"/>
      <c r="JR663" s="2"/>
      <c r="JS663" s="2"/>
      <c r="JT663" s="2"/>
      <c r="JU663" s="2"/>
      <c r="JV663" s="2"/>
      <c r="JW663" s="2"/>
      <c r="JX663" s="2"/>
    </row>
    <row r="664" spans="1:28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  <c r="JJ664" s="2"/>
      <c r="JK664" s="2"/>
      <c r="JL664" s="2"/>
      <c r="JM664" s="2"/>
      <c r="JN664" s="2"/>
      <c r="JO664" s="2"/>
      <c r="JP664" s="2"/>
      <c r="JQ664" s="2"/>
      <c r="JR664" s="2"/>
      <c r="JS664" s="2"/>
      <c r="JT664" s="2"/>
      <c r="JU664" s="2"/>
      <c r="JV664" s="2"/>
      <c r="JW664" s="2"/>
      <c r="JX664" s="2"/>
    </row>
    <row r="665" spans="1:28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  <c r="JJ665" s="2"/>
      <c r="JK665" s="2"/>
      <c r="JL665" s="2"/>
      <c r="JM665" s="2"/>
      <c r="JN665" s="2"/>
      <c r="JO665" s="2"/>
      <c r="JP665" s="2"/>
      <c r="JQ665" s="2"/>
      <c r="JR665" s="2"/>
      <c r="JS665" s="2"/>
      <c r="JT665" s="2"/>
      <c r="JU665" s="2"/>
      <c r="JV665" s="2"/>
      <c r="JW665" s="2"/>
      <c r="JX665" s="2"/>
    </row>
    <row r="666" spans="1:28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  <c r="JJ666" s="2"/>
      <c r="JK666" s="2"/>
      <c r="JL666" s="2"/>
      <c r="JM666" s="2"/>
      <c r="JN666" s="2"/>
      <c r="JO666" s="2"/>
      <c r="JP666" s="2"/>
      <c r="JQ666" s="2"/>
      <c r="JR666" s="2"/>
      <c r="JS666" s="2"/>
      <c r="JT666" s="2"/>
      <c r="JU666" s="2"/>
      <c r="JV666" s="2"/>
      <c r="JW666" s="2"/>
      <c r="JX666" s="2"/>
    </row>
    <row r="667" spans="1:28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  <c r="JJ667" s="2"/>
      <c r="JK667" s="2"/>
      <c r="JL667" s="2"/>
      <c r="JM667" s="2"/>
      <c r="JN667" s="2"/>
      <c r="JO667" s="2"/>
      <c r="JP667" s="2"/>
      <c r="JQ667" s="2"/>
      <c r="JR667" s="2"/>
      <c r="JS667" s="2"/>
      <c r="JT667" s="2"/>
      <c r="JU667" s="2"/>
      <c r="JV667" s="2"/>
      <c r="JW667" s="2"/>
      <c r="JX667" s="2"/>
    </row>
    <row r="668" spans="1:28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  <c r="JJ668" s="2"/>
      <c r="JK668" s="2"/>
      <c r="JL668" s="2"/>
      <c r="JM668" s="2"/>
      <c r="JN668" s="2"/>
      <c r="JO668" s="2"/>
      <c r="JP668" s="2"/>
      <c r="JQ668" s="2"/>
      <c r="JR668" s="2"/>
      <c r="JS668" s="2"/>
      <c r="JT668" s="2"/>
      <c r="JU668" s="2"/>
      <c r="JV668" s="2"/>
      <c r="JW668" s="2"/>
      <c r="JX668" s="2"/>
    </row>
    <row r="669" spans="1:28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  <c r="JJ669" s="2"/>
      <c r="JK669" s="2"/>
      <c r="JL669" s="2"/>
      <c r="JM669" s="2"/>
      <c r="JN669" s="2"/>
      <c r="JO669" s="2"/>
      <c r="JP669" s="2"/>
      <c r="JQ669" s="2"/>
      <c r="JR669" s="2"/>
      <c r="JS669" s="2"/>
      <c r="JT669" s="2"/>
      <c r="JU669" s="2"/>
      <c r="JV669" s="2"/>
      <c r="JW669" s="2"/>
      <c r="JX669" s="2"/>
    </row>
    <row r="670" spans="1:28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  <c r="JJ670" s="2"/>
      <c r="JK670" s="2"/>
      <c r="JL670" s="2"/>
      <c r="JM670" s="2"/>
      <c r="JN670" s="2"/>
      <c r="JO670" s="2"/>
      <c r="JP670" s="2"/>
      <c r="JQ670" s="2"/>
      <c r="JR670" s="2"/>
      <c r="JS670" s="2"/>
      <c r="JT670" s="2"/>
      <c r="JU670" s="2"/>
      <c r="JV670" s="2"/>
      <c r="JW670" s="2"/>
      <c r="JX670" s="2"/>
    </row>
    <row r="671" spans="1:28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  <c r="JJ671" s="2"/>
      <c r="JK671" s="2"/>
      <c r="JL671" s="2"/>
      <c r="JM671" s="2"/>
      <c r="JN671" s="2"/>
      <c r="JO671" s="2"/>
      <c r="JP671" s="2"/>
      <c r="JQ671" s="2"/>
      <c r="JR671" s="2"/>
      <c r="JS671" s="2"/>
      <c r="JT671" s="2"/>
      <c r="JU671" s="2"/>
      <c r="JV671" s="2"/>
      <c r="JW671" s="2"/>
      <c r="JX671" s="2"/>
    </row>
    <row r="672" spans="1:28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  <c r="JJ672" s="2"/>
      <c r="JK672" s="2"/>
      <c r="JL672" s="2"/>
      <c r="JM672" s="2"/>
      <c r="JN672" s="2"/>
      <c r="JO672" s="2"/>
      <c r="JP672" s="2"/>
      <c r="JQ672" s="2"/>
      <c r="JR672" s="2"/>
      <c r="JS672" s="2"/>
      <c r="JT672" s="2"/>
      <c r="JU672" s="2"/>
      <c r="JV672" s="2"/>
      <c r="JW672" s="2"/>
      <c r="JX672" s="2"/>
    </row>
    <row r="673" spans="1:28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  <c r="JJ673" s="2"/>
      <c r="JK673" s="2"/>
      <c r="JL673" s="2"/>
      <c r="JM673" s="2"/>
      <c r="JN673" s="2"/>
      <c r="JO673" s="2"/>
      <c r="JP673" s="2"/>
      <c r="JQ673" s="2"/>
      <c r="JR673" s="2"/>
      <c r="JS673" s="2"/>
      <c r="JT673" s="2"/>
      <c r="JU673" s="2"/>
      <c r="JV673" s="2"/>
      <c r="JW673" s="2"/>
      <c r="JX673" s="2"/>
    </row>
    <row r="674" spans="1:28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  <c r="JJ674" s="2"/>
      <c r="JK674" s="2"/>
      <c r="JL674" s="2"/>
      <c r="JM674" s="2"/>
      <c r="JN674" s="2"/>
      <c r="JO674" s="2"/>
      <c r="JP674" s="2"/>
      <c r="JQ674" s="2"/>
      <c r="JR674" s="2"/>
      <c r="JS674" s="2"/>
      <c r="JT674" s="2"/>
      <c r="JU674" s="2"/>
      <c r="JV674" s="2"/>
      <c r="JW674" s="2"/>
      <c r="JX674" s="2"/>
    </row>
    <row r="675" spans="1:28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  <c r="JJ675" s="2"/>
      <c r="JK675" s="2"/>
      <c r="JL675" s="2"/>
      <c r="JM675" s="2"/>
      <c r="JN675" s="2"/>
      <c r="JO675" s="2"/>
      <c r="JP675" s="2"/>
      <c r="JQ675" s="2"/>
      <c r="JR675" s="2"/>
      <c r="JS675" s="2"/>
      <c r="JT675" s="2"/>
      <c r="JU675" s="2"/>
      <c r="JV675" s="2"/>
      <c r="JW675" s="2"/>
      <c r="JX675" s="2"/>
    </row>
    <row r="676" spans="1:28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  <c r="JJ676" s="2"/>
      <c r="JK676" s="2"/>
      <c r="JL676" s="2"/>
      <c r="JM676" s="2"/>
      <c r="JN676" s="2"/>
      <c r="JO676" s="2"/>
      <c r="JP676" s="2"/>
      <c r="JQ676" s="2"/>
      <c r="JR676" s="2"/>
      <c r="JS676" s="2"/>
      <c r="JT676" s="2"/>
      <c r="JU676" s="2"/>
      <c r="JV676" s="2"/>
      <c r="JW676" s="2"/>
      <c r="JX676" s="2"/>
    </row>
    <row r="677" spans="1:28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  <c r="JJ677" s="2"/>
      <c r="JK677" s="2"/>
      <c r="JL677" s="2"/>
      <c r="JM677" s="2"/>
      <c r="JN677" s="2"/>
      <c r="JO677" s="2"/>
      <c r="JP677" s="2"/>
      <c r="JQ677" s="2"/>
      <c r="JR677" s="2"/>
      <c r="JS677" s="2"/>
      <c r="JT677" s="2"/>
      <c r="JU677" s="2"/>
      <c r="JV677" s="2"/>
      <c r="JW677" s="2"/>
      <c r="JX677" s="2"/>
    </row>
    <row r="678" spans="1:28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  <c r="JJ678" s="2"/>
      <c r="JK678" s="2"/>
      <c r="JL678" s="2"/>
      <c r="JM678" s="2"/>
      <c r="JN678" s="2"/>
      <c r="JO678" s="2"/>
      <c r="JP678" s="2"/>
      <c r="JQ678" s="2"/>
      <c r="JR678" s="2"/>
      <c r="JS678" s="2"/>
      <c r="JT678" s="2"/>
      <c r="JU678" s="2"/>
      <c r="JV678" s="2"/>
      <c r="JW678" s="2"/>
      <c r="JX678" s="2"/>
    </row>
    <row r="679" spans="1:28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  <c r="JJ679" s="2"/>
      <c r="JK679" s="2"/>
      <c r="JL679" s="2"/>
      <c r="JM679" s="2"/>
      <c r="JN679" s="2"/>
      <c r="JO679" s="2"/>
      <c r="JP679" s="2"/>
      <c r="JQ679" s="2"/>
      <c r="JR679" s="2"/>
      <c r="JS679" s="2"/>
      <c r="JT679" s="2"/>
      <c r="JU679" s="2"/>
      <c r="JV679" s="2"/>
      <c r="JW679" s="2"/>
      <c r="JX679" s="2"/>
    </row>
    <row r="680" spans="1:28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  <c r="JJ680" s="2"/>
      <c r="JK680" s="2"/>
      <c r="JL680" s="2"/>
      <c r="JM680" s="2"/>
      <c r="JN680" s="2"/>
      <c r="JO680" s="2"/>
      <c r="JP680" s="2"/>
      <c r="JQ680" s="2"/>
      <c r="JR680" s="2"/>
      <c r="JS680" s="2"/>
      <c r="JT680" s="2"/>
      <c r="JU680" s="2"/>
      <c r="JV680" s="2"/>
      <c r="JW680" s="2"/>
      <c r="JX680" s="2"/>
    </row>
    <row r="681" spans="1:28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  <c r="JJ681" s="2"/>
      <c r="JK681" s="2"/>
      <c r="JL681" s="2"/>
      <c r="JM681" s="2"/>
      <c r="JN681" s="2"/>
      <c r="JO681" s="2"/>
      <c r="JP681" s="2"/>
      <c r="JQ681" s="2"/>
      <c r="JR681" s="2"/>
      <c r="JS681" s="2"/>
      <c r="JT681" s="2"/>
      <c r="JU681" s="2"/>
      <c r="JV681" s="2"/>
      <c r="JW681" s="2"/>
      <c r="JX681" s="2"/>
    </row>
    <row r="682" spans="1:28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  <c r="JJ682" s="2"/>
      <c r="JK682" s="2"/>
      <c r="JL682" s="2"/>
      <c r="JM682" s="2"/>
      <c r="JN682" s="2"/>
      <c r="JO682" s="2"/>
      <c r="JP682" s="2"/>
      <c r="JQ682" s="2"/>
      <c r="JR682" s="2"/>
      <c r="JS682" s="2"/>
      <c r="JT682" s="2"/>
      <c r="JU682" s="2"/>
      <c r="JV682" s="2"/>
      <c r="JW682" s="2"/>
      <c r="JX682" s="2"/>
    </row>
    <row r="683" spans="1:28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  <c r="JJ683" s="2"/>
      <c r="JK683" s="2"/>
      <c r="JL683" s="2"/>
      <c r="JM683" s="2"/>
      <c r="JN683" s="2"/>
      <c r="JO683" s="2"/>
      <c r="JP683" s="2"/>
      <c r="JQ683" s="2"/>
      <c r="JR683" s="2"/>
      <c r="JS683" s="2"/>
      <c r="JT683" s="2"/>
      <c r="JU683" s="2"/>
      <c r="JV683" s="2"/>
      <c r="JW683" s="2"/>
      <c r="JX683" s="2"/>
    </row>
    <row r="684" spans="1:2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  <c r="JJ684" s="2"/>
      <c r="JK684" s="2"/>
      <c r="JL684" s="2"/>
      <c r="JM684" s="2"/>
      <c r="JN684" s="2"/>
      <c r="JO684" s="2"/>
      <c r="JP684" s="2"/>
      <c r="JQ684" s="2"/>
      <c r="JR684" s="2"/>
      <c r="JS684" s="2"/>
      <c r="JT684" s="2"/>
      <c r="JU684" s="2"/>
      <c r="JV684" s="2"/>
      <c r="JW684" s="2"/>
      <c r="JX684" s="2"/>
    </row>
    <row r="685" spans="1:28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  <c r="JJ685" s="2"/>
      <c r="JK685" s="2"/>
      <c r="JL685" s="2"/>
      <c r="JM685" s="2"/>
      <c r="JN685" s="2"/>
      <c r="JO685" s="2"/>
      <c r="JP685" s="2"/>
      <c r="JQ685" s="2"/>
      <c r="JR685" s="2"/>
      <c r="JS685" s="2"/>
      <c r="JT685" s="2"/>
      <c r="JU685" s="2"/>
      <c r="JV685" s="2"/>
      <c r="JW685" s="2"/>
      <c r="JX685" s="2"/>
    </row>
    <row r="686" spans="1:28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  <c r="JJ686" s="2"/>
      <c r="JK686" s="2"/>
      <c r="JL686" s="2"/>
      <c r="JM686" s="2"/>
      <c r="JN686" s="2"/>
      <c r="JO686" s="2"/>
      <c r="JP686" s="2"/>
      <c r="JQ686" s="2"/>
      <c r="JR686" s="2"/>
      <c r="JS686" s="2"/>
      <c r="JT686" s="2"/>
      <c r="JU686" s="2"/>
      <c r="JV686" s="2"/>
      <c r="JW686" s="2"/>
      <c r="JX686" s="2"/>
    </row>
    <row r="687" spans="1:28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  <c r="JJ687" s="2"/>
      <c r="JK687" s="2"/>
      <c r="JL687" s="2"/>
      <c r="JM687" s="2"/>
      <c r="JN687" s="2"/>
      <c r="JO687" s="2"/>
      <c r="JP687" s="2"/>
      <c r="JQ687" s="2"/>
      <c r="JR687" s="2"/>
      <c r="JS687" s="2"/>
      <c r="JT687" s="2"/>
      <c r="JU687" s="2"/>
      <c r="JV687" s="2"/>
      <c r="JW687" s="2"/>
      <c r="JX687" s="2"/>
    </row>
    <row r="688" spans="1:28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  <c r="JJ688" s="2"/>
      <c r="JK688" s="2"/>
      <c r="JL688" s="2"/>
      <c r="JM688" s="2"/>
      <c r="JN688" s="2"/>
      <c r="JO688" s="2"/>
      <c r="JP688" s="2"/>
      <c r="JQ688" s="2"/>
      <c r="JR688" s="2"/>
      <c r="JS688" s="2"/>
      <c r="JT688" s="2"/>
      <c r="JU688" s="2"/>
      <c r="JV688" s="2"/>
      <c r="JW688" s="2"/>
      <c r="JX688" s="2"/>
    </row>
    <row r="689" spans="1:28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  <c r="JJ689" s="2"/>
      <c r="JK689" s="2"/>
      <c r="JL689" s="2"/>
      <c r="JM689" s="2"/>
      <c r="JN689" s="2"/>
      <c r="JO689" s="2"/>
      <c r="JP689" s="2"/>
      <c r="JQ689" s="2"/>
      <c r="JR689" s="2"/>
      <c r="JS689" s="2"/>
      <c r="JT689" s="2"/>
      <c r="JU689" s="2"/>
      <c r="JV689" s="2"/>
      <c r="JW689" s="2"/>
      <c r="JX689" s="2"/>
    </row>
    <row r="690" spans="1:28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  <c r="JJ690" s="2"/>
      <c r="JK690" s="2"/>
      <c r="JL690" s="2"/>
      <c r="JM690" s="2"/>
      <c r="JN690" s="2"/>
      <c r="JO690" s="2"/>
      <c r="JP690" s="2"/>
      <c r="JQ690" s="2"/>
      <c r="JR690" s="2"/>
      <c r="JS690" s="2"/>
      <c r="JT690" s="2"/>
      <c r="JU690" s="2"/>
      <c r="JV690" s="2"/>
      <c r="JW690" s="2"/>
      <c r="JX690" s="2"/>
    </row>
    <row r="691" spans="1:28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  <c r="JJ691" s="2"/>
      <c r="JK691" s="2"/>
      <c r="JL691" s="2"/>
      <c r="JM691" s="2"/>
      <c r="JN691" s="2"/>
      <c r="JO691" s="2"/>
      <c r="JP691" s="2"/>
      <c r="JQ691" s="2"/>
      <c r="JR691" s="2"/>
      <c r="JS691" s="2"/>
      <c r="JT691" s="2"/>
      <c r="JU691" s="2"/>
      <c r="JV691" s="2"/>
      <c r="JW691" s="2"/>
      <c r="JX691" s="2"/>
    </row>
    <row r="692" spans="1:28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  <c r="JJ692" s="2"/>
      <c r="JK692" s="2"/>
      <c r="JL692" s="2"/>
      <c r="JM692" s="2"/>
      <c r="JN692" s="2"/>
      <c r="JO692" s="2"/>
      <c r="JP692" s="2"/>
      <c r="JQ692" s="2"/>
      <c r="JR692" s="2"/>
      <c r="JS692" s="2"/>
      <c r="JT692" s="2"/>
      <c r="JU692" s="2"/>
      <c r="JV692" s="2"/>
      <c r="JW692" s="2"/>
      <c r="JX692" s="2"/>
    </row>
    <row r="693" spans="1:28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  <c r="JJ693" s="2"/>
      <c r="JK693" s="2"/>
      <c r="JL693" s="2"/>
      <c r="JM693" s="2"/>
      <c r="JN693" s="2"/>
      <c r="JO693" s="2"/>
      <c r="JP693" s="2"/>
      <c r="JQ693" s="2"/>
      <c r="JR693" s="2"/>
      <c r="JS693" s="2"/>
      <c r="JT693" s="2"/>
      <c r="JU693" s="2"/>
      <c r="JV693" s="2"/>
      <c r="JW693" s="2"/>
      <c r="JX693" s="2"/>
    </row>
    <row r="694" spans="1:28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  <c r="JJ694" s="2"/>
      <c r="JK694" s="2"/>
      <c r="JL694" s="2"/>
      <c r="JM694" s="2"/>
      <c r="JN694" s="2"/>
      <c r="JO694" s="2"/>
      <c r="JP694" s="2"/>
      <c r="JQ694" s="2"/>
      <c r="JR694" s="2"/>
      <c r="JS694" s="2"/>
      <c r="JT694" s="2"/>
      <c r="JU694" s="2"/>
      <c r="JV694" s="2"/>
      <c r="JW694" s="2"/>
      <c r="JX694" s="2"/>
    </row>
    <row r="695" spans="1:28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  <c r="JJ695" s="2"/>
      <c r="JK695" s="2"/>
      <c r="JL695" s="2"/>
      <c r="JM695" s="2"/>
      <c r="JN695" s="2"/>
      <c r="JO695" s="2"/>
      <c r="JP695" s="2"/>
      <c r="JQ695" s="2"/>
      <c r="JR695" s="2"/>
      <c r="JS695" s="2"/>
      <c r="JT695" s="2"/>
      <c r="JU695" s="2"/>
      <c r="JV695" s="2"/>
      <c r="JW695" s="2"/>
      <c r="JX695" s="2"/>
    </row>
    <row r="696" spans="1:28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  <c r="JJ696" s="2"/>
      <c r="JK696" s="2"/>
      <c r="JL696" s="2"/>
      <c r="JM696" s="2"/>
      <c r="JN696" s="2"/>
      <c r="JO696" s="2"/>
      <c r="JP696" s="2"/>
      <c r="JQ696" s="2"/>
      <c r="JR696" s="2"/>
      <c r="JS696" s="2"/>
      <c r="JT696" s="2"/>
      <c r="JU696" s="2"/>
      <c r="JV696" s="2"/>
      <c r="JW696" s="2"/>
      <c r="JX696" s="2"/>
    </row>
    <row r="697" spans="1:28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  <c r="JJ697" s="2"/>
      <c r="JK697" s="2"/>
      <c r="JL697" s="2"/>
      <c r="JM697" s="2"/>
      <c r="JN697" s="2"/>
      <c r="JO697" s="2"/>
      <c r="JP697" s="2"/>
      <c r="JQ697" s="2"/>
      <c r="JR697" s="2"/>
      <c r="JS697" s="2"/>
      <c r="JT697" s="2"/>
      <c r="JU697" s="2"/>
      <c r="JV697" s="2"/>
      <c r="JW697" s="2"/>
      <c r="JX697" s="2"/>
    </row>
    <row r="698" spans="1:28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  <c r="JJ698" s="2"/>
      <c r="JK698" s="2"/>
      <c r="JL698" s="2"/>
      <c r="JM698" s="2"/>
      <c r="JN698" s="2"/>
      <c r="JO698" s="2"/>
      <c r="JP698" s="2"/>
      <c r="JQ698" s="2"/>
      <c r="JR698" s="2"/>
      <c r="JS698" s="2"/>
      <c r="JT698" s="2"/>
      <c r="JU698" s="2"/>
      <c r="JV698" s="2"/>
      <c r="JW698" s="2"/>
      <c r="JX698" s="2"/>
    </row>
    <row r="699" spans="1:28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  <c r="JJ699" s="2"/>
      <c r="JK699" s="2"/>
      <c r="JL699" s="2"/>
      <c r="JM699" s="2"/>
      <c r="JN699" s="2"/>
      <c r="JO699" s="2"/>
      <c r="JP699" s="2"/>
      <c r="JQ699" s="2"/>
      <c r="JR699" s="2"/>
      <c r="JS699" s="2"/>
      <c r="JT699" s="2"/>
      <c r="JU699" s="2"/>
      <c r="JV699" s="2"/>
      <c r="JW699" s="2"/>
      <c r="JX699" s="2"/>
    </row>
    <row r="700" spans="1:28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  <c r="JJ700" s="2"/>
      <c r="JK700" s="2"/>
      <c r="JL700" s="2"/>
      <c r="JM700" s="2"/>
      <c r="JN700" s="2"/>
      <c r="JO700" s="2"/>
      <c r="JP700" s="2"/>
      <c r="JQ700" s="2"/>
      <c r="JR700" s="2"/>
      <c r="JS700" s="2"/>
      <c r="JT700" s="2"/>
      <c r="JU700" s="2"/>
      <c r="JV700" s="2"/>
      <c r="JW700" s="2"/>
      <c r="JX700" s="2"/>
    </row>
    <row r="701" spans="1:28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  <c r="JJ701" s="2"/>
      <c r="JK701" s="2"/>
      <c r="JL701" s="2"/>
      <c r="JM701" s="2"/>
      <c r="JN701" s="2"/>
      <c r="JO701" s="2"/>
      <c r="JP701" s="2"/>
      <c r="JQ701" s="2"/>
      <c r="JR701" s="2"/>
      <c r="JS701" s="2"/>
      <c r="JT701" s="2"/>
      <c r="JU701" s="2"/>
      <c r="JV701" s="2"/>
      <c r="JW701" s="2"/>
      <c r="JX701" s="2"/>
    </row>
    <row r="702" spans="1:28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  <c r="JJ702" s="2"/>
      <c r="JK702" s="2"/>
      <c r="JL702" s="2"/>
      <c r="JM702" s="2"/>
      <c r="JN702" s="2"/>
      <c r="JO702" s="2"/>
      <c r="JP702" s="2"/>
      <c r="JQ702" s="2"/>
      <c r="JR702" s="2"/>
      <c r="JS702" s="2"/>
      <c r="JT702" s="2"/>
      <c r="JU702" s="2"/>
      <c r="JV702" s="2"/>
      <c r="JW702" s="2"/>
      <c r="JX702" s="2"/>
    </row>
    <row r="703" spans="1:28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  <c r="JJ703" s="2"/>
      <c r="JK703" s="2"/>
      <c r="JL703" s="2"/>
      <c r="JM703" s="2"/>
      <c r="JN703" s="2"/>
      <c r="JO703" s="2"/>
      <c r="JP703" s="2"/>
      <c r="JQ703" s="2"/>
      <c r="JR703" s="2"/>
      <c r="JS703" s="2"/>
      <c r="JT703" s="2"/>
      <c r="JU703" s="2"/>
      <c r="JV703" s="2"/>
      <c r="JW703" s="2"/>
      <c r="JX703" s="2"/>
    </row>
    <row r="704" spans="1:28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  <c r="JJ704" s="2"/>
      <c r="JK704" s="2"/>
      <c r="JL704" s="2"/>
      <c r="JM704" s="2"/>
      <c r="JN704" s="2"/>
      <c r="JO704" s="2"/>
      <c r="JP704" s="2"/>
      <c r="JQ704" s="2"/>
      <c r="JR704" s="2"/>
      <c r="JS704" s="2"/>
      <c r="JT704" s="2"/>
      <c r="JU704" s="2"/>
      <c r="JV704" s="2"/>
      <c r="JW704" s="2"/>
      <c r="JX704" s="2"/>
    </row>
    <row r="705" spans="1:28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  <c r="JJ705" s="2"/>
      <c r="JK705" s="2"/>
      <c r="JL705" s="2"/>
      <c r="JM705" s="2"/>
      <c r="JN705" s="2"/>
      <c r="JO705" s="2"/>
      <c r="JP705" s="2"/>
      <c r="JQ705" s="2"/>
      <c r="JR705" s="2"/>
      <c r="JS705" s="2"/>
      <c r="JT705" s="2"/>
      <c r="JU705" s="2"/>
      <c r="JV705" s="2"/>
      <c r="JW705" s="2"/>
      <c r="JX705" s="2"/>
    </row>
    <row r="706" spans="1:28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  <c r="JJ706" s="2"/>
      <c r="JK706" s="2"/>
      <c r="JL706" s="2"/>
      <c r="JM706" s="2"/>
      <c r="JN706" s="2"/>
      <c r="JO706" s="2"/>
      <c r="JP706" s="2"/>
      <c r="JQ706" s="2"/>
      <c r="JR706" s="2"/>
      <c r="JS706" s="2"/>
      <c r="JT706" s="2"/>
      <c r="JU706" s="2"/>
      <c r="JV706" s="2"/>
      <c r="JW706" s="2"/>
      <c r="JX706" s="2"/>
    </row>
    <row r="707" spans="1:28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  <c r="JJ707" s="2"/>
      <c r="JK707" s="2"/>
      <c r="JL707" s="2"/>
      <c r="JM707" s="2"/>
      <c r="JN707" s="2"/>
      <c r="JO707" s="2"/>
      <c r="JP707" s="2"/>
      <c r="JQ707" s="2"/>
      <c r="JR707" s="2"/>
      <c r="JS707" s="2"/>
      <c r="JT707" s="2"/>
      <c r="JU707" s="2"/>
      <c r="JV707" s="2"/>
      <c r="JW707" s="2"/>
      <c r="JX707" s="2"/>
    </row>
    <row r="708" spans="1:28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  <c r="JJ708" s="2"/>
      <c r="JK708" s="2"/>
      <c r="JL708" s="2"/>
      <c r="JM708" s="2"/>
      <c r="JN708" s="2"/>
      <c r="JO708" s="2"/>
      <c r="JP708" s="2"/>
      <c r="JQ708" s="2"/>
      <c r="JR708" s="2"/>
      <c r="JS708" s="2"/>
      <c r="JT708" s="2"/>
      <c r="JU708" s="2"/>
      <c r="JV708" s="2"/>
      <c r="JW708" s="2"/>
      <c r="JX708" s="2"/>
    </row>
    <row r="709" spans="1:28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  <c r="JJ709" s="2"/>
      <c r="JK709" s="2"/>
      <c r="JL709" s="2"/>
      <c r="JM709" s="2"/>
      <c r="JN709" s="2"/>
      <c r="JO709" s="2"/>
      <c r="JP709" s="2"/>
      <c r="JQ709" s="2"/>
      <c r="JR709" s="2"/>
      <c r="JS709" s="2"/>
      <c r="JT709" s="2"/>
      <c r="JU709" s="2"/>
      <c r="JV709" s="2"/>
      <c r="JW709" s="2"/>
      <c r="JX709" s="2"/>
    </row>
    <row r="710" spans="1:28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  <c r="JJ710" s="2"/>
      <c r="JK710" s="2"/>
      <c r="JL710" s="2"/>
      <c r="JM710" s="2"/>
      <c r="JN710" s="2"/>
      <c r="JO710" s="2"/>
      <c r="JP710" s="2"/>
      <c r="JQ710" s="2"/>
      <c r="JR710" s="2"/>
      <c r="JS710" s="2"/>
      <c r="JT710" s="2"/>
      <c r="JU710" s="2"/>
      <c r="JV710" s="2"/>
      <c r="JW710" s="2"/>
      <c r="JX710" s="2"/>
    </row>
    <row r="711" spans="1:28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  <c r="JJ711" s="2"/>
      <c r="JK711" s="2"/>
      <c r="JL711" s="2"/>
      <c r="JM711" s="2"/>
      <c r="JN711" s="2"/>
      <c r="JO711" s="2"/>
      <c r="JP711" s="2"/>
      <c r="JQ711" s="2"/>
      <c r="JR711" s="2"/>
      <c r="JS711" s="2"/>
      <c r="JT711" s="2"/>
      <c r="JU711" s="2"/>
      <c r="JV711" s="2"/>
      <c r="JW711" s="2"/>
      <c r="JX711" s="2"/>
    </row>
    <row r="712" spans="1:28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  <c r="JJ712" s="2"/>
      <c r="JK712" s="2"/>
      <c r="JL712" s="2"/>
      <c r="JM712" s="2"/>
      <c r="JN712" s="2"/>
      <c r="JO712" s="2"/>
      <c r="JP712" s="2"/>
      <c r="JQ712" s="2"/>
      <c r="JR712" s="2"/>
      <c r="JS712" s="2"/>
      <c r="JT712" s="2"/>
      <c r="JU712" s="2"/>
      <c r="JV712" s="2"/>
      <c r="JW712" s="2"/>
      <c r="JX712" s="2"/>
    </row>
    <row r="713" spans="1:28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  <c r="JJ713" s="2"/>
      <c r="JK713" s="2"/>
      <c r="JL713" s="2"/>
      <c r="JM713" s="2"/>
      <c r="JN713" s="2"/>
      <c r="JO713" s="2"/>
      <c r="JP713" s="2"/>
      <c r="JQ713" s="2"/>
      <c r="JR713" s="2"/>
      <c r="JS713" s="2"/>
      <c r="JT713" s="2"/>
      <c r="JU713" s="2"/>
      <c r="JV713" s="2"/>
      <c r="JW713" s="2"/>
      <c r="JX713" s="2"/>
    </row>
    <row r="714" spans="1:28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  <c r="JJ714" s="2"/>
      <c r="JK714" s="2"/>
      <c r="JL714" s="2"/>
      <c r="JM714" s="2"/>
      <c r="JN714" s="2"/>
      <c r="JO714" s="2"/>
      <c r="JP714" s="2"/>
      <c r="JQ714" s="2"/>
      <c r="JR714" s="2"/>
      <c r="JS714" s="2"/>
      <c r="JT714" s="2"/>
      <c r="JU714" s="2"/>
      <c r="JV714" s="2"/>
      <c r="JW714" s="2"/>
      <c r="JX714" s="2"/>
    </row>
    <row r="715" spans="1:28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  <c r="JJ715" s="2"/>
      <c r="JK715" s="2"/>
      <c r="JL715" s="2"/>
      <c r="JM715" s="2"/>
      <c r="JN715" s="2"/>
      <c r="JO715" s="2"/>
      <c r="JP715" s="2"/>
      <c r="JQ715" s="2"/>
      <c r="JR715" s="2"/>
      <c r="JS715" s="2"/>
      <c r="JT715" s="2"/>
      <c r="JU715" s="2"/>
      <c r="JV715" s="2"/>
      <c r="JW715" s="2"/>
      <c r="JX715" s="2"/>
    </row>
    <row r="716" spans="1:28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  <c r="JJ716" s="2"/>
      <c r="JK716" s="2"/>
      <c r="JL716" s="2"/>
      <c r="JM716" s="2"/>
      <c r="JN716" s="2"/>
      <c r="JO716" s="2"/>
      <c r="JP716" s="2"/>
      <c r="JQ716" s="2"/>
      <c r="JR716" s="2"/>
      <c r="JS716" s="2"/>
      <c r="JT716" s="2"/>
      <c r="JU716" s="2"/>
      <c r="JV716" s="2"/>
      <c r="JW716" s="2"/>
      <c r="JX716" s="2"/>
    </row>
    <row r="717" spans="1:28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  <c r="JJ717" s="2"/>
      <c r="JK717" s="2"/>
      <c r="JL717" s="2"/>
      <c r="JM717" s="2"/>
      <c r="JN717" s="2"/>
      <c r="JO717" s="2"/>
      <c r="JP717" s="2"/>
      <c r="JQ717" s="2"/>
      <c r="JR717" s="2"/>
      <c r="JS717" s="2"/>
      <c r="JT717" s="2"/>
      <c r="JU717" s="2"/>
      <c r="JV717" s="2"/>
      <c r="JW717" s="2"/>
      <c r="JX717" s="2"/>
    </row>
    <row r="718" spans="1:28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  <c r="JJ718" s="2"/>
      <c r="JK718" s="2"/>
      <c r="JL718" s="2"/>
      <c r="JM718" s="2"/>
      <c r="JN718" s="2"/>
      <c r="JO718" s="2"/>
      <c r="JP718" s="2"/>
      <c r="JQ718" s="2"/>
      <c r="JR718" s="2"/>
      <c r="JS718" s="2"/>
      <c r="JT718" s="2"/>
      <c r="JU718" s="2"/>
      <c r="JV718" s="2"/>
      <c r="JW718" s="2"/>
      <c r="JX718" s="2"/>
    </row>
    <row r="719" spans="1:28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  <c r="JJ719" s="2"/>
      <c r="JK719" s="2"/>
      <c r="JL719" s="2"/>
      <c r="JM719" s="2"/>
      <c r="JN719" s="2"/>
      <c r="JO719" s="2"/>
      <c r="JP719" s="2"/>
      <c r="JQ719" s="2"/>
      <c r="JR719" s="2"/>
      <c r="JS719" s="2"/>
      <c r="JT719" s="2"/>
      <c r="JU719" s="2"/>
      <c r="JV719" s="2"/>
      <c r="JW719" s="2"/>
      <c r="JX719" s="2"/>
    </row>
    <row r="720" spans="1:28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  <c r="JJ720" s="2"/>
      <c r="JK720" s="2"/>
      <c r="JL720" s="2"/>
      <c r="JM720" s="2"/>
      <c r="JN720" s="2"/>
      <c r="JO720" s="2"/>
      <c r="JP720" s="2"/>
      <c r="JQ720" s="2"/>
      <c r="JR720" s="2"/>
      <c r="JS720" s="2"/>
      <c r="JT720" s="2"/>
      <c r="JU720" s="2"/>
      <c r="JV720" s="2"/>
      <c r="JW720" s="2"/>
      <c r="JX720" s="2"/>
    </row>
    <row r="721" spans="1:28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  <c r="JJ721" s="2"/>
      <c r="JK721" s="2"/>
      <c r="JL721" s="2"/>
      <c r="JM721" s="2"/>
      <c r="JN721" s="2"/>
      <c r="JO721" s="2"/>
      <c r="JP721" s="2"/>
      <c r="JQ721" s="2"/>
      <c r="JR721" s="2"/>
      <c r="JS721" s="2"/>
      <c r="JT721" s="2"/>
      <c r="JU721" s="2"/>
      <c r="JV721" s="2"/>
      <c r="JW721" s="2"/>
      <c r="JX721" s="2"/>
    </row>
    <row r="722" spans="1:28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  <c r="JJ722" s="2"/>
      <c r="JK722" s="2"/>
      <c r="JL722" s="2"/>
      <c r="JM722" s="2"/>
      <c r="JN722" s="2"/>
      <c r="JO722" s="2"/>
      <c r="JP722" s="2"/>
      <c r="JQ722" s="2"/>
      <c r="JR722" s="2"/>
      <c r="JS722" s="2"/>
      <c r="JT722" s="2"/>
      <c r="JU722" s="2"/>
      <c r="JV722" s="2"/>
      <c r="JW722" s="2"/>
      <c r="JX722" s="2"/>
    </row>
    <row r="723" spans="1:28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  <c r="JJ723" s="2"/>
      <c r="JK723" s="2"/>
      <c r="JL723" s="2"/>
      <c r="JM723" s="2"/>
      <c r="JN723" s="2"/>
      <c r="JO723" s="2"/>
      <c r="JP723" s="2"/>
      <c r="JQ723" s="2"/>
      <c r="JR723" s="2"/>
      <c r="JS723" s="2"/>
      <c r="JT723" s="2"/>
      <c r="JU723" s="2"/>
      <c r="JV723" s="2"/>
      <c r="JW723" s="2"/>
      <c r="JX723" s="2"/>
    </row>
    <row r="724" spans="1:28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  <c r="JJ724" s="2"/>
      <c r="JK724" s="2"/>
      <c r="JL724" s="2"/>
      <c r="JM724" s="2"/>
      <c r="JN724" s="2"/>
      <c r="JO724" s="2"/>
      <c r="JP724" s="2"/>
      <c r="JQ724" s="2"/>
      <c r="JR724" s="2"/>
      <c r="JS724" s="2"/>
      <c r="JT724" s="2"/>
      <c r="JU724" s="2"/>
      <c r="JV724" s="2"/>
      <c r="JW724" s="2"/>
      <c r="JX724" s="2"/>
    </row>
    <row r="725" spans="1:28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  <c r="JJ725" s="2"/>
      <c r="JK725" s="2"/>
      <c r="JL725" s="2"/>
      <c r="JM725" s="2"/>
      <c r="JN725" s="2"/>
      <c r="JO725" s="2"/>
      <c r="JP725" s="2"/>
      <c r="JQ725" s="2"/>
      <c r="JR725" s="2"/>
      <c r="JS725" s="2"/>
      <c r="JT725" s="2"/>
      <c r="JU725" s="2"/>
      <c r="JV725" s="2"/>
      <c r="JW725" s="2"/>
      <c r="JX725" s="2"/>
    </row>
    <row r="726" spans="1:28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  <c r="JJ726" s="2"/>
      <c r="JK726" s="2"/>
      <c r="JL726" s="2"/>
      <c r="JM726" s="2"/>
      <c r="JN726" s="2"/>
      <c r="JO726" s="2"/>
      <c r="JP726" s="2"/>
      <c r="JQ726" s="2"/>
      <c r="JR726" s="2"/>
      <c r="JS726" s="2"/>
      <c r="JT726" s="2"/>
      <c r="JU726" s="2"/>
      <c r="JV726" s="2"/>
      <c r="JW726" s="2"/>
      <c r="JX726" s="2"/>
    </row>
    <row r="727" spans="1:28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  <c r="JJ727" s="2"/>
      <c r="JK727" s="2"/>
      <c r="JL727" s="2"/>
      <c r="JM727" s="2"/>
      <c r="JN727" s="2"/>
      <c r="JO727" s="2"/>
      <c r="JP727" s="2"/>
      <c r="JQ727" s="2"/>
      <c r="JR727" s="2"/>
      <c r="JS727" s="2"/>
      <c r="JT727" s="2"/>
      <c r="JU727" s="2"/>
      <c r="JV727" s="2"/>
      <c r="JW727" s="2"/>
      <c r="JX727" s="2"/>
    </row>
    <row r="728" spans="1:28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  <c r="JJ728" s="2"/>
      <c r="JK728" s="2"/>
      <c r="JL728" s="2"/>
      <c r="JM728" s="2"/>
      <c r="JN728" s="2"/>
      <c r="JO728" s="2"/>
      <c r="JP728" s="2"/>
      <c r="JQ728" s="2"/>
      <c r="JR728" s="2"/>
      <c r="JS728" s="2"/>
      <c r="JT728" s="2"/>
      <c r="JU728" s="2"/>
      <c r="JV728" s="2"/>
      <c r="JW728" s="2"/>
      <c r="JX728" s="2"/>
    </row>
    <row r="729" spans="1:28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  <c r="JJ729" s="2"/>
      <c r="JK729" s="2"/>
      <c r="JL729" s="2"/>
      <c r="JM729" s="2"/>
      <c r="JN729" s="2"/>
      <c r="JO729" s="2"/>
      <c r="JP729" s="2"/>
      <c r="JQ729" s="2"/>
      <c r="JR729" s="2"/>
      <c r="JS729" s="2"/>
      <c r="JT729" s="2"/>
      <c r="JU729" s="2"/>
      <c r="JV729" s="2"/>
      <c r="JW729" s="2"/>
      <c r="JX729" s="2"/>
    </row>
    <row r="730" spans="1:28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  <c r="JJ730" s="2"/>
      <c r="JK730" s="2"/>
      <c r="JL730" s="2"/>
      <c r="JM730" s="2"/>
      <c r="JN730" s="2"/>
      <c r="JO730" s="2"/>
      <c r="JP730" s="2"/>
      <c r="JQ730" s="2"/>
      <c r="JR730" s="2"/>
      <c r="JS730" s="2"/>
      <c r="JT730" s="2"/>
      <c r="JU730" s="2"/>
      <c r="JV730" s="2"/>
      <c r="JW730" s="2"/>
      <c r="JX730" s="2"/>
    </row>
    <row r="731" spans="1:28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  <c r="JJ731" s="2"/>
      <c r="JK731" s="2"/>
      <c r="JL731" s="2"/>
      <c r="JM731" s="2"/>
      <c r="JN731" s="2"/>
      <c r="JO731" s="2"/>
      <c r="JP731" s="2"/>
      <c r="JQ731" s="2"/>
      <c r="JR731" s="2"/>
      <c r="JS731" s="2"/>
      <c r="JT731" s="2"/>
      <c r="JU731" s="2"/>
      <c r="JV731" s="2"/>
      <c r="JW731" s="2"/>
      <c r="JX731" s="2"/>
    </row>
    <row r="732" spans="1:28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  <c r="JJ732" s="2"/>
      <c r="JK732" s="2"/>
      <c r="JL732" s="2"/>
      <c r="JM732" s="2"/>
      <c r="JN732" s="2"/>
      <c r="JO732" s="2"/>
      <c r="JP732" s="2"/>
      <c r="JQ732" s="2"/>
      <c r="JR732" s="2"/>
      <c r="JS732" s="2"/>
      <c r="JT732" s="2"/>
      <c r="JU732" s="2"/>
      <c r="JV732" s="2"/>
      <c r="JW732" s="2"/>
      <c r="JX732" s="2"/>
    </row>
    <row r="733" spans="1:28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  <c r="JJ733" s="2"/>
      <c r="JK733" s="2"/>
      <c r="JL733" s="2"/>
      <c r="JM733" s="2"/>
      <c r="JN733" s="2"/>
      <c r="JO733" s="2"/>
      <c r="JP733" s="2"/>
      <c r="JQ733" s="2"/>
      <c r="JR733" s="2"/>
      <c r="JS733" s="2"/>
      <c r="JT733" s="2"/>
      <c r="JU733" s="2"/>
      <c r="JV733" s="2"/>
      <c r="JW733" s="2"/>
      <c r="JX733" s="2"/>
    </row>
    <row r="734" spans="1:28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  <c r="JJ734" s="2"/>
      <c r="JK734" s="2"/>
      <c r="JL734" s="2"/>
      <c r="JM734" s="2"/>
      <c r="JN734" s="2"/>
      <c r="JO734" s="2"/>
      <c r="JP734" s="2"/>
      <c r="JQ734" s="2"/>
      <c r="JR734" s="2"/>
      <c r="JS734" s="2"/>
      <c r="JT734" s="2"/>
      <c r="JU734" s="2"/>
      <c r="JV734" s="2"/>
      <c r="JW734" s="2"/>
      <c r="JX734" s="2"/>
    </row>
    <row r="735" spans="1:28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  <c r="JJ735" s="2"/>
      <c r="JK735" s="2"/>
      <c r="JL735" s="2"/>
      <c r="JM735" s="2"/>
      <c r="JN735" s="2"/>
      <c r="JO735" s="2"/>
      <c r="JP735" s="2"/>
      <c r="JQ735" s="2"/>
      <c r="JR735" s="2"/>
      <c r="JS735" s="2"/>
      <c r="JT735" s="2"/>
      <c r="JU735" s="2"/>
      <c r="JV735" s="2"/>
      <c r="JW735" s="2"/>
      <c r="JX735" s="2"/>
    </row>
    <row r="736" spans="1:28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  <c r="JJ736" s="2"/>
      <c r="JK736" s="2"/>
      <c r="JL736" s="2"/>
      <c r="JM736" s="2"/>
      <c r="JN736" s="2"/>
      <c r="JO736" s="2"/>
      <c r="JP736" s="2"/>
      <c r="JQ736" s="2"/>
      <c r="JR736" s="2"/>
      <c r="JS736" s="2"/>
      <c r="JT736" s="2"/>
      <c r="JU736" s="2"/>
      <c r="JV736" s="2"/>
      <c r="JW736" s="2"/>
      <c r="JX736" s="2"/>
    </row>
    <row r="737" spans="1:28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  <c r="JJ737" s="2"/>
      <c r="JK737" s="2"/>
      <c r="JL737" s="2"/>
      <c r="JM737" s="2"/>
      <c r="JN737" s="2"/>
      <c r="JO737" s="2"/>
      <c r="JP737" s="2"/>
      <c r="JQ737" s="2"/>
      <c r="JR737" s="2"/>
      <c r="JS737" s="2"/>
      <c r="JT737" s="2"/>
      <c r="JU737" s="2"/>
      <c r="JV737" s="2"/>
      <c r="JW737" s="2"/>
      <c r="JX737" s="2"/>
    </row>
    <row r="738" spans="1:28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  <c r="JJ738" s="2"/>
      <c r="JK738" s="2"/>
      <c r="JL738" s="2"/>
      <c r="JM738" s="2"/>
      <c r="JN738" s="2"/>
      <c r="JO738" s="2"/>
      <c r="JP738" s="2"/>
      <c r="JQ738" s="2"/>
      <c r="JR738" s="2"/>
      <c r="JS738" s="2"/>
      <c r="JT738" s="2"/>
      <c r="JU738" s="2"/>
      <c r="JV738" s="2"/>
      <c r="JW738" s="2"/>
      <c r="JX738" s="2"/>
    </row>
    <row r="739" spans="1:28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  <c r="JJ739" s="2"/>
      <c r="JK739" s="2"/>
      <c r="JL739" s="2"/>
      <c r="JM739" s="2"/>
      <c r="JN739" s="2"/>
      <c r="JO739" s="2"/>
      <c r="JP739" s="2"/>
      <c r="JQ739" s="2"/>
      <c r="JR739" s="2"/>
      <c r="JS739" s="2"/>
      <c r="JT739" s="2"/>
      <c r="JU739" s="2"/>
      <c r="JV739" s="2"/>
      <c r="JW739" s="2"/>
      <c r="JX739" s="2"/>
    </row>
    <row r="740" spans="1:28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  <c r="JJ740" s="2"/>
      <c r="JK740" s="2"/>
      <c r="JL740" s="2"/>
      <c r="JM740" s="2"/>
      <c r="JN740" s="2"/>
      <c r="JO740" s="2"/>
      <c r="JP740" s="2"/>
      <c r="JQ740" s="2"/>
      <c r="JR740" s="2"/>
      <c r="JS740" s="2"/>
      <c r="JT740" s="2"/>
      <c r="JU740" s="2"/>
      <c r="JV740" s="2"/>
      <c r="JW740" s="2"/>
      <c r="JX740" s="2"/>
    </row>
    <row r="741" spans="1:28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  <c r="JJ741" s="2"/>
      <c r="JK741" s="2"/>
      <c r="JL741" s="2"/>
      <c r="JM741" s="2"/>
      <c r="JN741" s="2"/>
      <c r="JO741" s="2"/>
      <c r="JP741" s="2"/>
      <c r="JQ741" s="2"/>
      <c r="JR741" s="2"/>
      <c r="JS741" s="2"/>
      <c r="JT741" s="2"/>
      <c r="JU741" s="2"/>
      <c r="JV741" s="2"/>
      <c r="JW741" s="2"/>
      <c r="JX741" s="2"/>
    </row>
    <row r="742" spans="1:28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  <c r="JJ742" s="2"/>
      <c r="JK742" s="2"/>
      <c r="JL742" s="2"/>
      <c r="JM742" s="2"/>
      <c r="JN742" s="2"/>
      <c r="JO742" s="2"/>
      <c r="JP742" s="2"/>
      <c r="JQ742" s="2"/>
      <c r="JR742" s="2"/>
      <c r="JS742" s="2"/>
      <c r="JT742" s="2"/>
      <c r="JU742" s="2"/>
      <c r="JV742" s="2"/>
      <c r="JW742" s="2"/>
      <c r="JX742" s="2"/>
    </row>
    <row r="743" spans="1:28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  <c r="JJ743" s="2"/>
      <c r="JK743" s="2"/>
      <c r="JL743" s="2"/>
      <c r="JM743" s="2"/>
      <c r="JN743" s="2"/>
      <c r="JO743" s="2"/>
      <c r="JP743" s="2"/>
      <c r="JQ743" s="2"/>
      <c r="JR743" s="2"/>
      <c r="JS743" s="2"/>
      <c r="JT743" s="2"/>
      <c r="JU743" s="2"/>
      <c r="JV743" s="2"/>
      <c r="JW743" s="2"/>
      <c r="JX743" s="2"/>
    </row>
    <row r="744" spans="1:28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  <c r="JJ744" s="2"/>
      <c r="JK744" s="2"/>
      <c r="JL744" s="2"/>
      <c r="JM744" s="2"/>
      <c r="JN744" s="2"/>
      <c r="JO744" s="2"/>
      <c r="JP744" s="2"/>
      <c r="JQ744" s="2"/>
      <c r="JR744" s="2"/>
      <c r="JS744" s="2"/>
      <c r="JT744" s="2"/>
      <c r="JU744" s="2"/>
      <c r="JV744" s="2"/>
      <c r="JW744" s="2"/>
      <c r="JX744" s="2"/>
    </row>
    <row r="745" spans="1:28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  <c r="JJ745" s="2"/>
      <c r="JK745" s="2"/>
      <c r="JL745" s="2"/>
      <c r="JM745" s="2"/>
      <c r="JN745" s="2"/>
      <c r="JO745" s="2"/>
      <c r="JP745" s="2"/>
      <c r="JQ745" s="2"/>
      <c r="JR745" s="2"/>
      <c r="JS745" s="2"/>
      <c r="JT745" s="2"/>
      <c r="JU745" s="2"/>
      <c r="JV745" s="2"/>
      <c r="JW745" s="2"/>
      <c r="JX745" s="2"/>
    </row>
    <row r="746" spans="1:28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  <c r="JJ746" s="2"/>
      <c r="JK746" s="2"/>
      <c r="JL746" s="2"/>
      <c r="JM746" s="2"/>
      <c r="JN746" s="2"/>
      <c r="JO746" s="2"/>
      <c r="JP746" s="2"/>
      <c r="JQ746" s="2"/>
      <c r="JR746" s="2"/>
      <c r="JS746" s="2"/>
      <c r="JT746" s="2"/>
      <c r="JU746" s="2"/>
      <c r="JV746" s="2"/>
      <c r="JW746" s="2"/>
      <c r="JX746" s="2"/>
    </row>
    <row r="747" spans="1:28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  <c r="JJ747" s="2"/>
      <c r="JK747" s="2"/>
      <c r="JL747" s="2"/>
      <c r="JM747" s="2"/>
      <c r="JN747" s="2"/>
      <c r="JO747" s="2"/>
      <c r="JP747" s="2"/>
      <c r="JQ747" s="2"/>
      <c r="JR747" s="2"/>
      <c r="JS747" s="2"/>
      <c r="JT747" s="2"/>
      <c r="JU747" s="2"/>
      <c r="JV747" s="2"/>
      <c r="JW747" s="2"/>
      <c r="JX747" s="2"/>
    </row>
    <row r="748" spans="1:28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  <c r="JJ748" s="2"/>
      <c r="JK748" s="2"/>
      <c r="JL748" s="2"/>
      <c r="JM748" s="2"/>
      <c r="JN748" s="2"/>
      <c r="JO748" s="2"/>
      <c r="JP748" s="2"/>
      <c r="JQ748" s="2"/>
      <c r="JR748" s="2"/>
      <c r="JS748" s="2"/>
      <c r="JT748" s="2"/>
      <c r="JU748" s="2"/>
      <c r="JV748" s="2"/>
      <c r="JW748" s="2"/>
      <c r="JX748" s="2"/>
    </row>
    <row r="749" spans="1:28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  <c r="JJ749" s="2"/>
      <c r="JK749" s="2"/>
      <c r="JL749" s="2"/>
      <c r="JM749" s="2"/>
      <c r="JN749" s="2"/>
      <c r="JO749" s="2"/>
      <c r="JP749" s="2"/>
      <c r="JQ749" s="2"/>
      <c r="JR749" s="2"/>
      <c r="JS749" s="2"/>
      <c r="JT749" s="2"/>
      <c r="JU749" s="2"/>
      <c r="JV749" s="2"/>
      <c r="JW749" s="2"/>
      <c r="JX749" s="2"/>
    </row>
    <row r="750" spans="1:28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  <c r="JJ750" s="2"/>
      <c r="JK750" s="2"/>
      <c r="JL750" s="2"/>
      <c r="JM750" s="2"/>
      <c r="JN750" s="2"/>
      <c r="JO750" s="2"/>
      <c r="JP750" s="2"/>
      <c r="JQ750" s="2"/>
      <c r="JR750" s="2"/>
      <c r="JS750" s="2"/>
      <c r="JT750" s="2"/>
      <c r="JU750" s="2"/>
      <c r="JV750" s="2"/>
      <c r="JW750" s="2"/>
      <c r="JX750" s="2"/>
    </row>
    <row r="751" spans="1:28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  <c r="JJ751" s="2"/>
      <c r="JK751" s="2"/>
      <c r="JL751" s="2"/>
      <c r="JM751" s="2"/>
      <c r="JN751" s="2"/>
      <c r="JO751" s="2"/>
      <c r="JP751" s="2"/>
      <c r="JQ751" s="2"/>
      <c r="JR751" s="2"/>
      <c r="JS751" s="2"/>
      <c r="JT751" s="2"/>
      <c r="JU751" s="2"/>
      <c r="JV751" s="2"/>
      <c r="JW751" s="2"/>
      <c r="JX751" s="2"/>
    </row>
    <row r="752" spans="1:28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  <c r="JJ752" s="2"/>
      <c r="JK752" s="2"/>
      <c r="JL752" s="2"/>
      <c r="JM752" s="2"/>
      <c r="JN752" s="2"/>
      <c r="JO752" s="2"/>
      <c r="JP752" s="2"/>
      <c r="JQ752" s="2"/>
      <c r="JR752" s="2"/>
      <c r="JS752" s="2"/>
      <c r="JT752" s="2"/>
      <c r="JU752" s="2"/>
      <c r="JV752" s="2"/>
      <c r="JW752" s="2"/>
      <c r="JX752" s="2"/>
    </row>
    <row r="753" spans="1:28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  <c r="JJ753" s="2"/>
      <c r="JK753" s="2"/>
      <c r="JL753" s="2"/>
      <c r="JM753" s="2"/>
      <c r="JN753" s="2"/>
      <c r="JO753" s="2"/>
      <c r="JP753" s="2"/>
      <c r="JQ753" s="2"/>
      <c r="JR753" s="2"/>
      <c r="JS753" s="2"/>
      <c r="JT753" s="2"/>
      <c r="JU753" s="2"/>
      <c r="JV753" s="2"/>
      <c r="JW753" s="2"/>
      <c r="JX753" s="2"/>
    </row>
    <row r="754" spans="1:28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  <c r="JJ754" s="2"/>
      <c r="JK754" s="2"/>
      <c r="JL754" s="2"/>
      <c r="JM754" s="2"/>
      <c r="JN754" s="2"/>
      <c r="JO754" s="2"/>
      <c r="JP754" s="2"/>
      <c r="JQ754" s="2"/>
      <c r="JR754" s="2"/>
      <c r="JS754" s="2"/>
      <c r="JT754" s="2"/>
      <c r="JU754" s="2"/>
      <c r="JV754" s="2"/>
      <c r="JW754" s="2"/>
      <c r="JX754" s="2"/>
    </row>
    <row r="755" spans="1:28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  <c r="JJ755" s="2"/>
      <c r="JK755" s="2"/>
      <c r="JL755" s="2"/>
      <c r="JM755" s="2"/>
      <c r="JN755" s="2"/>
      <c r="JO755" s="2"/>
      <c r="JP755" s="2"/>
      <c r="JQ755" s="2"/>
      <c r="JR755" s="2"/>
      <c r="JS755" s="2"/>
      <c r="JT755" s="2"/>
      <c r="JU755" s="2"/>
      <c r="JV755" s="2"/>
      <c r="JW755" s="2"/>
      <c r="JX755" s="2"/>
    </row>
    <row r="756" spans="1:28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  <c r="JJ756" s="2"/>
      <c r="JK756" s="2"/>
      <c r="JL756" s="2"/>
      <c r="JM756" s="2"/>
      <c r="JN756" s="2"/>
      <c r="JO756" s="2"/>
      <c r="JP756" s="2"/>
      <c r="JQ756" s="2"/>
      <c r="JR756" s="2"/>
      <c r="JS756" s="2"/>
      <c r="JT756" s="2"/>
      <c r="JU756" s="2"/>
      <c r="JV756" s="2"/>
      <c r="JW756" s="2"/>
      <c r="JX756" s="2"/>
    </row>
    <row r="757" spans="1:28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  <c r="JJ757" s="2"/>
      <c r="JK757" s="2"/>
      <c r="JL757" s="2"/>
      <c r="JM757" s="2"/>
      <c r="JN757" s="2"/>
      <c r="JO757" s="2"/>
      <c r="JP757" s="2"/>
      <c r="JQ757" s="2"/>
      <c r="JR757" s="2"/>
      <c r="JS757" s="2"/>
      <c r="JT757" s="2"/>
      <c r="JU757" s="2"/>
      <c r="JV757" s="2"/>
      <c r="JW757" s="2"/>
      <c r="JX757" s="2"/>
    </row>
    <row r="758" spans="1:28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  <c r="JJ758" s="2"/>
      <c r="JK758" s="2"/>
      <c r="JL758" s="2"/>
      <c r="JM758" s="2"/>
      <c r="JN758" s="2"/>
      <c r="JO758" s="2"/>
      <c r="JP758" s="2"/>
      <c r="JQ758" s="2"/>
      <c r="JR758" s="2"/>
      <c r="JS758" s="2"/>
      <c r="JT758" s="2"/>
      <c r="JU758" s="2"/>
      <c r="JV758" s="2"/>
      <c r="JW758" s="2"/>
      <c r="JX758" s="2"/>
    </row>
    <row r="759" spans="1:28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  <c r="JJ759" s="2"/>
      <c r="JK759" s="2"/>
      <c r="JL759" s="2"/>
      <c r="JM759" s="2"/>
      <c r="JN759" s="2"/>
      <c r="JO759" s="2"/>
      <c r="JP759" s="2"/>
      <c r="JQ759" s="2"/>
      <c r="JR759" s="2"/>
      <c r="JS759" s="2"/>
      <c r="JT759" s="2"/>
      <c r="JU759" s="2"/>
      <c r="JV759" s="2"/>
      <c r="JW759" s="2"/>
      <c r="JX759" s="2"/>
    </row>
    <row r="760" spans="1:28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  <c r="JJ760" s="2"/>
      <c r="JK760" s="2"/>
      <c r="JL760" s="2"/>
      <c r="JM760" s="2"/>
      <c r="JN760" s="2"/>
      <c r="JO760" s="2"/>
      <c r="JP760" s="2"/>
      <c r="JQ760" s="2"/>
      <c r="JR760" s="2"/>
      <c r="JS760" s="2"/>
      <c r="JT760" s="2"/>
      <c r="JU760" s="2"/>
      <c r="JV760" s="2"/>
      <c r="JW760" s="2"/>
      <c r="JX760" s="2"/>
    </row>
    <row r="761" spans="1:28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  <c r="JJ761" s="2"/>
      <c r="JK761" s="2"/>
      <c r="JL761" s="2"/>
      <c r="JM761" s="2"/>
      <c r="JN761" s="2"/>
      <c r="JO761" s="2"/>
      <c r="JP761" s="2"/>
      <c r="JQ761" s="2"/>
      <c r="JR761" s="2"/>
      <c r="JS761" s="2"/>
      <c r="JT761" s="2"/>
      <c r="JU761" s="2"/>
      <c r="JV761" s="2"/>
      <c r="JW761" s="2"/>
      <c r="JX761" s="2"/>
    </row>
    <row r="762" spans="1:28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  <c r="JJ762" s="2"/>
      <c r="JK762" s="2"/>
      <c r="JL762" s="2"/>
      <c r="JM762" s="2"/>
      <c r="JN762" s="2"/>
      <c r="JO762" s="2"/>
      <c r="JP762" s="2"/>
      <c r="JQ762" s="2"/>
      <c r="JR762" s="2"/>
      <c r="JS762" s="2"/>
      <c r="JT762" s="2"/>
      <c r="JU762" s="2"/>
      <c r="JV762" s="2"/>
      <c r="JW762" s="2"/>
      <c r="JX762" s="2"/>
    </row>
    <row r="763" spans="1:28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  <c r="JJ763" s="2"/>
      <c r="JK763" s="2"/>
      <c r="JL763" s="2"/>
      <c r="JM763" s="2"/>
      <c r="JN763" s="2"/>
      <c r="JO763" s="2"/>
      <c r="JP763" s="2"/>
      <c r="JQ763" s="2"/>
      <c r="JR763" s="2"/>
      <c r="JS763" s="2"/>
      <c r="JT763" s="2"/>
      <c r="JU763" s="2"/>
      <c r="JV763" s="2"/>
      <c r="JW763" s="2"/>
      <c r="JX763" s="2"/>
    </row>
    <row r="764" spans="1:28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  <c r="JJ764" s="2"/>
      <c r="JK764" s="2"/>
      <c r="JL764" s="2"/>
      <c r="JM764" s="2"/>
      <c r="JN764" s="2"/>
      <c r="JO764" s="2"/>
      <c r="JP764" s="2"/>
      <c r="JQ764" s="2"/>
      <c r="JR764" s="2"/>
      <c r="JS764" s="2"/>
      <c r="JT764" s="2"/>
      <c r="JU764" s="2"/>
      <c r="JV764" s="2"/>
      <c r="JW764" s="2"/>
      <c r="JX764" s="2"/>
    </row>
    <row r="765" spans="1:28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  <c r="JJ765" s="2"/>
      <c r="JK765" s="2"/>
      <c r="JL765" s="2"/>
      <c r="JM765" s="2"/>
      <c r="JN765" s="2"/>
      <c r="JO765" s="2"/>
      <c r="JP765" s="2"/>
      <c r="JQ765" s="2"/>
      <c r="JR765" s="2"/>
      <c r="JS765" s="2"/>
      <c r="JT765" s="2"/>
      <c r="JU765" s="2"/>
      <c r="JV765" s="2"/>
      <c r="JW765" s="2"/>
      <c r="JX765" s="2"/>
    </row>
    <row r="766" spans="1:28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  <c r="JJ766" s="2"/>
      <c r="JK766" s="2"/>
      <c r="JL766" s="2"/>
      <c r="JM766" s="2"/>
      <c r="JN766" s="2"/>
      <c r="JO766" s="2"/>
      <c r="JP766" s="2"/>
      <c r="JQ766" s="2"/>
      <c r="JR766" s="2"/>
      <c r="JS766" s="2"/>
      <c r="JT766" s="2"/>
      <c r="JU766" s="2"/>
      <c r="JV766" s="2"/>
      <c r="JW766" s="2"/>
      <c r="JX766" s="2"/>
    </row>
    <row r="767" spans="1:28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  <c r="JJ767" s="2"/>
      <c r="JK767" s="2"/>
      <c r="JL767" s="2"/>
      <c r="JM767" s="2"/>
      <c r="JN767" s="2"/>
      <c r="JO767" s="2"/>
      <c r="JP767" s="2"/>
      <c r="JQ767" s="2"/>
      <c r="JR767" s="2"/>
      <c r="JS767" s="2"/>
      <c r="JT767" s="2"/>
      <c r="JU767" s="2"/>
      <c r="JV767" s="2"/>
      <c r="JW767" s="2"/>
      <c r="JX767" s="2"/>
    </row>
    <row r="768" spans="1:28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  <c r="JJ768" s="2"/>
      <c r="JK768" s="2"/>
      <c r="JL768" s="2"/>
      <c r="JM768" s="2"/>
      <c r="JN768" s="2"/>
      <c r="JO768" s="2"/>
      <c r="JP768" s="2"/>
      <c r="JQ768" s="2"/>
      <c r="JR768" s="2"/>
      <c r="JS768" s="2"/>
      <c r="JT768" s="2"/>
      <c r="JU768" s="2"/>
      <c r="JV768" s="2"/>
      <c r="JW768" s="2"/>
      <c r="JX768" s="2"/>
    </row>
    <row r="769" spans="1:28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  <c r="JJ769" s="2"/>
      <c r="JK769" s="2"/>
      <c r="JL769" s="2"/>
      <c r="JM769" s="2"/>
      <c r="JN769" s="2"/>
      <c r="JO769" s="2"/>
      <c r="JP769" s="2"/>
      <c r="JQ769" s="2"/>
      <c r="JR769" s="2"/>
      <c r="JS769" s="2"/>
      <c r="JT769" s="2"/>
      <c r="JU769" s="2"/>
      <c r="JV769" s="2"/>
      <c r="JW769" s="2"/>
      <c r="JX769" s="2"/>
    </row>
    <row r="770" spans="1:28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  <c r="JJ770" s="2"/>
      <c r="JK770" s="2"/>
      <c r="JL770" s="2"/>
      <c r="JM770" s="2"/>
      <c r="JN770" s="2"/>
      <c r="JO770" s="2"/>
      <c r="JP770" s="2"/>
      <c r="JQ770" s="2"/>
      <c r="JR770" s="2"/>
      <c r="JS770" s="2"/>
      <c r="JT770" s="2"/>
      <c r="JU770" s="2"/>
      <c r="JV770" s="2"/>
      <c r="JW770" s="2"/>
      <c r="JX770" s="2"/>
    </row>
    <row r="771" spans="1:28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  <c r="JJ771" s="2"/>
      <c r="JK771" s="2"/>
      <c r="JL771" s="2"/>
      <c r="JM771" s="2"/>
      <c r="JN771" s="2"/>
      <c r="JO771" s="2"/>
      <c r="JP771" s="2"/>
      <c r="JQ771" s="2"/>
      <c r="JR771" s="2"/>
      <c r="JS771" s="2"/>
      <c r="JT771" s="2"/>
      <c r="JU771" s="2"/>
      <c r="JV771" s="2"/>
      <c r="JW771" s="2"/>
      <c r="JX771" s="2"/>
    </row>
    <row r="772" spans="1:28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  <c r="JJ772" s="2"/>
      <c r="JK772" s="2"/>
      <c r="JL772" s="2"/>
      <c r="JM772" s="2"/>
      <c r="JN772" s="2"/>
      <c r="JO772" s="2"/>
      <c r="JP772" s="2"/>
      <c r="JQ772" s="2"/>
      <c r="JR772" s="2"/>
      <c r="JS772" s="2"/>
      <c r="JT772" s="2"/>
      <c r="JU772" s="2"/>
      <c r="JV772" s="2"/>
      <c r="JW772" s="2"/>
      <c r="JX772" s="2"/>
    </row>
    <row r="773" spans="1:28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  <c r="JJ773" s="2"/>
      <c r="JK773" s="2"/>
      <c r="JL773" s="2"/>
      <c r="JM773" s="2"/>
      <c r="JN773" s="2"/>
      <c r="JO773" s="2"/>
      <c r="JP773" s="2"/>
      <c r="JQ773" s="2"/>
      <c r="JR773" s="2"/>
      <c r="JS773" s="2"/>
      <c r="JT773" s="2"/>
      <c r="JU773" s="2"/>
      <c r="JV773" s="2"/>
      <c r="JW773" s="2"/>
      <c r="JX773" s="2"/>
    </row>
    <row r="774" spans="1:28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  <c r="JJ774" s="2"/>
      <c r="JK774" s="2"/>
      <c r="JL774" s="2"/>
      <c r="JM774" s="2"/>
      <c r="JN774" s="2"/>
      <c r="JO774" s="2"/>
      <c r="JP774" s="2"/>
      <c r="JQ774" s="2"/>
      <c r="JR774" s="2"/>
      <c r="JS774" s="2"/>
      <c r="JT774" s="2"/>
      <c r="JU774" s="2"/>
      <c r="JV774" s="2"/>
      <c r="JW774" s="2"/>
      <c r="JX774" s="2"/>
    </row>
    <row r="775" spans="1:28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  <c r="JJ775" s="2"/>
      <c r="JK775" s="2"/>
      <c r="JL775" s="2"/>
      <c r="JM775" s="2"/>
      <c r="JN775" s="2"/>
      <c r="JO775" s="2"/>
      <c r="JP775" s="2"/>
      <c r="JQ775" s="2"/>
      <c r="JR775" s="2"/>
      <c r="JS775" s="2"/>
      <c r="JT775" s="2"/>
      <c r="JU775" s="2"/>
      <c r="JV775" s="2"/>
      <c r="JW775" s="2"/>
      <c r="JX775" s="2"/>
    </row>
    <row r="776" spans="1:28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  <c r="JJ776" s="2"/>
      <c r="JK776" s="2"/>
      <c r="JL776" s="2"/>
      <c r="JM776" s="2"/>
      <c r="JN776" s="2"/>
      <c r="JO776" s="2"/>
      <c r="JP776" s="2"/>
      <c r="JQ776" s="2"/>
      <c r="JR776" s="2"/>
      <c r="JS776" s="2"/>
      <c r="JT776" s="2"/>
      <c r="JU776" s="2"/>
      <c r="JV776" s="2"/>
      <c r="JW776" s="2"/>
      <c r="JX776" s="2"/>
    </row>
    <row r="777" spans="1:28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  <c r="JJ777" s="2"/>
      <c r="JK777" s="2"/>
      <c r="JL777" s="2"/>
      <c r="JM777" s="2"/>
      <c r="JN777" s="2"/>
      <c r="JO777" s="2"/>
      <c r="JP777" s="2"/>
      <c r="JQ777" s="2"/>
      <c r="JR777" s="2"/>
      <c r="JS777" s="2"/>
      <c r="JT777" s="2"/>
      <c r="JU777" s="2"/>
      <c r="JV777" s="2"/>
      <c r="JW777" s="2"/>
      <c r="JX777" s="2"/>
    </row>
    <row r="778" spans="1:28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  <c r="JJ778" s="2"/>
      <c r="JK778" s="2"/>
      <c r="JL778" s="2"/>
      <c r="JM778" s="2"/>
      <c r="JN778" s="2"/>
      <c r="JO778" s="2"/>
      <c r="JP778" s="2"/>
      <c r="JQ778" s="2"/>
      <c r="JR778" s="2"/>
      <c r="JS778" s="2"/>
      <c r="JT778" s="2"/>
      <c r="JU778" s="2"/>
      <c r="JV778" s="2"/>
      <c r="JW778" s="2"/>
      <c r="JX778" s="2"/>
    </row>
    <row r="779" spans="1:28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  <c r="JJ779" s="2"/>
      <c r="JK779" s="2"/>
      <c r="JL779" s="2"/>
      <c r="JM779" s="2"/>
      <c r="JN779" s="2"/>
      <c r="JO779" s="2"/>
      <c r="JP779" s="2"/>
      <c r="JQ779" s="2"/>
      <c r="JR779" s="2"/>
      <c r="JS779" s="2"/>
      <c r="JT779" s="2"/>
      <c r="JU779" s="2"/>
      <c r="JV779" s="2"/>
      <c r="JW779" s="2"/>
      <c r="JX779" s="2"/>
    </row>
    <row r="780" spans="1:28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  <c r="JJ780" s="2"/>
      <c r="JK780" s="2"/>
      <c r="JL780" s="2"/>
      <c r="JM780" s="2"/>
      <c r="JN780" s="2"/>
      <c r="JO780" s="2"/>
      <c r="JP780" s="2"/>
      <c r="JQ780" s="2"/>
      <c r="JR780" s="2"/>
      <c r="JS780" s="2"/>
      <c r="JT780" s="2"/>
      <c r="JU780" s="2"/>
      <c r="JV780" s="2"/>
      <c r="JW780" s="2"/>
      <c r="JX780" s="2"/>
    </row>
    <row r="781" spans="1:28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  <c r="JJ781" s="2"/>
      <c r="JK781" s="2"/>
      <c r="JL781" s="2"/>
      <c r="JM781" s="2"/>
      <c r="JN781" s="2"/>
      <c r="JO781" s="2"/>
      <c r="JP781" s="2"/>
      <c r="JQ781" s="2"/>
      <c r="JR781" s="2"/>
      <c r="JS781" s="2"/>
      <c r="JT781" s="2"/>
      <c r="JU781" s="2"/>
      <c r="JV781" s="2"/>
      <c r="JW781" s="2"/>
      <c r="JX781" s="2"/>
    </row>
    <row r="782" spans="1:28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  <c r="JJ782" s="2"/>
      <c r="JK782" s="2"/>
      <c r="JL782" s="2"/>
      <c r="JM782" s="2"/>
      <c r="JN782" s="2"/>
      <c r="JO782" s="2"/>
      <c r="JP782" s="2"/>
      <c r="JQ782" s="2"/>
      <c r="JR782" s="2"/>
      <c r="JS782" s="2"/>
      <c r="JT782" s="2"/>
      <c r="JU782" s="2"/>
      <c r="JV782" s="2"/>
      <c r="JW782" s="2"/>
      <c r="JX782" s="2"/>
    </row>
    <row r="783" spans="1:28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  <c r="JJ783" s="2"/>
      <c r="JK783" s="2"/>
      <c r="JL783" s="2"/>
      <c r="JM783" s="2"/>
      <c r="JN783" s="2"/>
      <c r="JO783" s="2"/>
      <c r="JP783" s="2"/>
      <c r="JQ783" s="2"/>
      <c r="JR783" s="2"/>
      <c r="JS783" s="2"/>
      <c r="JT783" s="2"/>
      <c r="JU783" s="2"/>
      <c r="JV783" s="2"/>
      <c r="JW783" s="2"/>
      <c r="JX783" s="2"/>
    </row>
    <row r="784" spans="1:2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  <c r="JJ784" s="2"/>
      <c r="JK784" s="2"/>
      <c r="JL784" s="2"/>
      <c r="JM784" s="2"/>
      <c r="JN784" s="2"/>
      <c r="JO784" s="2"/>
      <c r="JP784" s="2"/>
      <c r="JQ784" s="2"/>
      <c r="JR784" s="2"/>
      <c r="JS784" s="2"/>
      <c r="JT784" s="2"/>
      <c r="JU784" s="2"/>
      <c r="JV784" s="2"/>
      <c r="JW784" s="2"/>
      <c r="JX784" s="2"/>
    </row>
    <row r="785" spans="1:28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  <c r="JJ785" s="2"/>
      <c r="JK785" s="2"/>
      <c r="JL785" s="2"/>
      <c r="JM785" s="2"/>
      <c r="JN785" s="2"/>
      <c r="JO785" s="2"/>
      <c r="JP785" s="2"/>
      <c r="JQ785" s="2"/>
      <c r="JR785" s="2"/>
      <c r="JS785" s="2"/>
      <c r="JT785" s="2"/>
      <c r="JU785" s="2"/>
      <c r="JV785" s="2"/>
      <c r="JW785" s="2"/>
      <c r="JX785" s="2"/>
    </row>
    <row r="786" spans="1:28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  <c r="JJ786" s="2"/>
      <c r="JK786" s="2"/>
      <c r="JL786" s="2"/>
      <c r="JM786" s="2"/>
      <c r="JN786" s="2"/>
      <c r="JO786" s="2"/>
      <c r="JP786" s="2"/>
      <c r="JQ786" s="2"/>
      <c r="JR786" s="2"/>
      <c r="JS786" s="2"/>
      <c r="JT786" s="2"/>
      <c r="JU786" s="2"/>
      <c r="JV786" s="2"/>
      <c r="JW786" s="2"/>
      <c r="JX786" s="2"/>
    </row>
    <row r="787" spans="1:28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  <c r="JJ787" s="2"/>
      <c r="JK787" s="2"/>
      <c r="JL787" s="2"/>
      <c r="JM787" s="2"/>
      <c r="JN787" s="2"/>
      <c r="JO787" s="2"/>
      <c r="JP787" s="2"/>
      <c r="JQ787" s="2"/>
      <c r="JR787" s="2"/>
      <c r="JS787" s="2"/>
      <c r="JT787" s="2"/>
      <c r="JU787" s="2"/>
      <c r="JV787" s="2"/>
      <c r="JW787" s="2"/>
      <c r="JX787" s="2"/>
    </row>
    <row r="788" spans="1:28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  <c r="JJ788" s="2"/>
      <c r="JK788" s="2"/>
      <c r="JL788" s="2"/>
      <c r="JM788" s="2"/>
      <c r="JN788" s="2"/>
      <c r="JO788" s="2"/>
      <c r="JP788" s="2"/>
      <c r="JQ788" s="2"/>
      <c r="JR788" s="2"/>
      <c r="JS788" s="2"/>
      <c r="JT788" s="2"/>
      <c r="JU788" s="2"/>
      <c r="JV788" s="2"/>
      <c r="JW788" s="2"/>
      <c r="JX788" s="2"/>
    </row>
    <row r="789" spans="1:28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  <c r="JJ789" s="2"/>
      <c r="JK789" s="2"/>
      <c r="JL789" s="2"/>
      <c r="JM789" s="2"/>
      <c r="JN789" s="2"/>
      <c r="JO789" s="2"/>
      <c r="JP789" s="2"/>
      <c r="JQ789" s="2"/>
      <c r="JR789" s="2"/>
      <c r="JS789" s="2"/>
      <c r="JT789" s="2"/>
      <c r="JU789" s="2"/>
      <c r="JV789" s="2"/>
      <c r="JW789" s="2"/>
      <c r="JX789" s="2"/>
    </row>
    <row r="790" spans="1:28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  <c r="JJ790" s="2"/>
      <c r="JK790" s="2"/>
      <c r="JL790" s="2"/>
      <c r="JM790" s="2"/>
      <c r="JN790" s="2"/>
      <c r="JO790" s="2"/>
      <c r="JP790" s="2"/>
      <c r="JQ790" s="2"/>
      <c r="JR790" s="2"/>
      <c r="JS790" s="2"/>
      <c r="JT790" s="2"/>
      <c r="JU790" s="2"/>
      <c r="JV790" s="2"/>
      <c r="JW790" s="2"/>
      <c r="JX790" s="2"/>
    </row>
    <row r="791" spans="1:28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  <c r="JJ791" s="2"/>
      <c r="JK791" s="2"/>
      <c r="JL791" s="2"/>
      <c r="JM791" s="2"/>
      <c r="JN791" s="2"/>
      <c r="JO791" s="2"/>
      <c r="JP791" s="2"/>
      <c r="JQ791" s="2"/>
      <c r="JR791" s="2"/>
      <c r="JS791" s="2"/>
      <c r="JT791" s="2"/>
      <c r="JU791" s="2"/>
      <c r="JV791" s="2"/>
      <c r="JW791" s="2"/>
      <c r="JX791" s="2"/>
    </row>
    <row r="792" spans="1:28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  <c r="JJ792" s="2"/>
      <c r="JK792" s="2"/>
      <c r="JL792" s="2"/>
      <c r="JM792" s="2"/>
      <c r="JN792" s="2"/>
      <c r="JO792" s="2"/>
      <c r="JP792" s="2"/>
      <c r="JQ792" s="2"/>
      <c r="JR792" s="2"/>
      <c r="JS792" s="2"/>
      <c r="JT792" s="2"/>
      <c r="JU792" s="2"/>
      <c r="JV792" s="2"/>
      <c r="JW792" s="2"/>
      <c r="JX792" s="2"/>
    </row>
    <row r="793" spans="1:28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  <c r="JJ793" s="2"/>
      <c r="JK793" s="2"/>
      <c r="JL793" s="2"/>
      <c r="JM793" s="2"/>
      <c r="JN793" s="2"/>
      <c r="JO793" s="2"/>
      <c r="JP793" s="2"/>
      <c r="JQ793" s="2"/>
      <c r="JR793" s="2"/>
      <c r="JS793" s="2"/>
      <c r="JT793" s="2"/>
      <c r="JU793" s="2"/>
      <c r="JV793" s="2"/>
      <c r="JW793" s="2"/>
      <c r="JX793" s="2"/>
    </row>
    <row r="794" spans="1:28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  <c r="JJ794" s="2"/>
      <c r="JK794" s="2"/>
      <c r="JL794" s="2"/>
      <c r="JM794" s="2"/>
      <c r="JN794" s="2"/>
      <c r="JO794" s="2"/>
      <c r="JP794" s="2"/>
      <c r="JQ794" s="2"/>
      <c r="JR794" s="2"/>
      <c r="JS794" s="2"/>
      <c r="JT794" s="2"/>
      <c r="JU794" s="2"/>
      <c r="JV794" s="2"/>
      <c r="JW794" s="2"/>
      <c r="JX794" s="2"/>
    </row>
    <row r="795" spans="1:28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  <c r="JJ795" s="2"/>
      <c r="JK795" s="2"/>
      <c r="JL795" s="2"/>
      <c r="JM795" s="2"/>
      <c r="JN795" s="2"/>
      <c r="JO795" s="2"/>
      <c r="JP795" s="2"/>
      <c r="JQ795" s="2"/>
      <c r="JR795" s="2"/>
      <c r="JS795" s="2"/>
      <c r="JT795" s="2"/>
      <c r="JU795" s="2"/>
      <c r="JV795" s="2"/>
      <c r="JW795" s="2"/>
      <c r="JX795" s="2"/>
    </row>
    <row r="796" spans="1:28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  <c r="JJ796" s="2"/>
      <c r="JK796" s="2"/>
      <c r="JL796" s="2"/>
      <c r="JM796" s="2"/>
      <c r="JN796" s="2"/>
      <c r="JO796" s="2"/>
      <c r="JP796" s="2"/>
      <c r="JQ796" s="2"/>
      <c r="JR796" s="2"/>
      <c r="JS796" s="2"/>
      <c r="JT796" s="2"/>
      <c r="JU796" s="2"/>
      <c r="JV796" s="2"/>
      <c r="JW796" s="2"/>
      <c r="JX796" s="2"/>
    </row>
    <row r="797" spans="1:28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  <c r="JJ797" s="2"/>
      <c r="JK797" s="2"/>
      <c r="JL797" s="2"/>
      <c r="JM797" s="2"/>
      <c r="JN797" s="2"/>
      <c r="JO797" s="2"/>
      <c r="JP797" s="2"/>
      <c r="JQ797" s="2"/>
      <c r="JR797" s="2"/>
      <c r="JS797" s="2"/>
      <c r="JT797" s="2"/>
      <c r="JU797" s="2"/>
      <c r="JV797" s="2"/>
      <c r="JW797" s="2"/>
      <c r="JX797" s="2"/>
    </row>
    <row r="798" spans="1:28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  <c r="JJ798" s="2"/>
      <c r="JK798" s="2"/>
      <c r="JL798" s="2"/>
      <c r="JM798" s="2"/>
      <c r="JN798" s="2"/>
      <c r="JO798" s="2"/>
      <c r="JP798" s="2"/>
      <c r="JQ798" s="2"/>
      <c r="JR798" s="2"/>
      <c r="JS798" s="2"/>
      <c r="JT798" s="2"/>
      <c r="JU798" s="2"/>
      <c r="JV798" s="2"/>
      <c r="JW798" s="2"/>
      <c r="JX798" s="2"/>
    </row>
    <row r="799" spans="1:28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  <c r="JJ799" s="2"/>
      <c r="JK799" s="2"/>
      <c r="JL799" s="2"/>
      <c r="JM799" s="2"/>
      <c r="JN799" s="2"/>
      <c r="JO799" s="2"/>
      <c r="JP799" s="2"/>
      <c r="JQ799" s="2"/>
      <c r="JR799" s="2"/>
      <c r="JS799" s="2"/>
      <c r="JT799" s="2"/>
      <c r="JU799" s="2"/>
      <c r="JV799" s="2"/>
      <c r="JW799" s="2"/>
      <c r="JX799" s="2"/>
    </row>
    <row r="800" spans="1:28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  <c r="JJ800" s="2"/>
      <c r="JK800" s="2"/>
      <c r="JL800" s="2"/>
      <c r="JM800" s="2"/>
      <c r="JN800" s="2"/>
      <c r="JO800" s="2"/>
      <c r="JP800" s="2"/>
      <c r="JQ800" s="2"/>
      <c r="JR800" s="2"/>
      <c r="JS800" s="2"/>
      <c r="JT800" s="2"/>
      <c r="JU800" s="2"/>
      <c r="JV800" s="2"/>
      <c r="JW800" s="2"/>
      <c r="JX800" s="2"/>
    </row>
    <row r="801" spans="1:28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  <c r="JJ801" s="2"/>
      <c r="JK801" s="2"/>
      <c r="JL801" s="2"/>
      <c r="JM801" s="2"/>
      <c r="JN801" s="2"/>
      <c r="JO801" s="2"/>
      <c r="JP801" s="2"/>
      <c r="JQ801" s="2"/>
      <c r="JR801" s="2"/>
      <c r="JS801" s="2"/>
      <c r="JT801" s="2"/>
      <c r="JU801" s="2"/>
      <c r="JV801" s="2"/>
      <c r="JW801" s="2"/>
      <c r="JX801" s="2"/>
    </row>
    <row r="802" spans="1:28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  <c r="JJ802" s="2"/>
      <c r="JK802" s="2"/>
      <c r="JL802" s="2"/>
      <c r="JM802" s="2"/>
      <c r="JN802" s="2"/>
      <c r="JO802" s="2"/>
      <c r="JP802" s="2"/>
      <c r="JQ802" s="2"/>
      <c r="JR802" s="2"/>
      <c r="JS802" s="2"/>
      <c r="JT802" s="2"/>
      <c r="JU802" s="2"/>
      <c r="JV802" s="2"/>
      <c r="JW802" s="2"/>
      <c r="JX802" s="2"/>
    </row>
    <row r="803" spans="1:28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  <c r="JJ803" s="2"/>
      <c r="JK803" s="2"/>
      <c r="JL803" s="2"/>
      <c r="JM803" s="2"/>
      <c r="JN803" s="2"/>
      <c r="JO803" s="2"/>
      <c r="JP803" s="2"/>
      <c r="JQ803" s="2"/>
      <c r="JR803" s="2"/>
      <c r="JS803" s="2"/>
      <c r="JT803" s="2"/>
      <c r="JU803" s="2"/>
      <c r="JV803" s="2"/>
      <c r="JW803" s="2"/>
      <c r="JX803" s="2"/>
    </row>
    <row r="804" spans="1:28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  <c r="JJ804" s="2"/>
      <c r="JK804" s="2"/>
      <c r="JL804" s="2"/>
      <c r="JM804" s="2"/>
      <c r="JN804" s="2"/>
      <c r="JO804" s="2"/>
      <c r="JP804" s="2"/>
      <c r="JQ804" s="2"/>
      <c r="JR804" s="2"/>
      <c r="JS804" s="2"/>
      <c r="JT804" s="2"/>
      <c r="JU804" s="2"/>
      <c r="JV804" s="2"/>
      <c r="JW804" s="2"/>
      <c r="JX804" s="2"/>
    </row>
    <row r="805" spans="1:28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  <c r="JJ805" s="2"/>
      <c r="JK805" s="2"/>
      <c r="JL805" s="2"/>
      <c r="JM805" s="2"/>
      <c r="JN805" s="2"/>
      <c r="JO805" s="2"/>
      <c r="JP805" s="2"/>
      <c r="JQ805" s="2"/>
      <c r="JR805" s="2"/>
      <c r="JS805" s="2"/>
      <c r="JT805" s="2"/>
      <c r="JU805" s="2"/>
      <c r="JV805" s="2"/>
      <c r="JW805" s="2"/>
      <c r="JX805" s="2"/>
    </row>
    <row r="806" spans="1:28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  <c r="JJ806" s="2"/>
      <c r="JK806" s="2"/>
      <c r="JL806" s="2"/>
      <c r="JM806" s="2"/>
      <c r="JN806" s="2"/>
      <c r="JO806" s="2"/>
      <c r="JP806" s="2"/>
      <c r="JQ806" s="2"/>
      <c r="JR806" s="2"/>
      <c r="JS806" s="2"/>
      <c r="JT806" s="2"/>
      <c r="JU806" s="2"/>
      <c r="JV806" s="2"/>
      <c r="JW806" s="2"/>
      <c r="JX806" s="2"/>
    </row>
    <row r="807" spans="1:28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  <c r="JJ807" s="2"/>
      <c r="JK807" s="2"/>
      <c r="JL807" s="2"/>
      <c r="JM807" s="2"/>
      <c r="JN807" s="2"/>
      <c r="JO807" s="2"/>
      <c r="JP807" s="2"/>
      <c r="JQ807" s="2"/>
      <c r="JR807" s="2"/>
      <c r="JS807" s="2"/>
      <c r="JT807" s="2"/>
      <c r="JU807" s="2"/>
      <c r="JV807" s="2"/>
      <c r="JW807" s="2"/>
      <c r="JX807" s="2"/>
    </row>
    <row r="808" spans="1:28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  <c r="JJ808" s="2"/>
      <c r="JK808" s="2"/>
      <c r="JL808" s="2"/>
      <c r="JM808" s="2"/>
      <c r="JN808" s="2"/>
      <c r="JO808" s="2"/>
      <c r="JP808" s="2"/>
      <c r="JQ808" s="2"/>
      <c r="JR808" s="2"/>
      <c r="JS808" s="2"/>
      <c r="JT808" s="2"/>
      <c r="JU808" s="2"/>
      <c r="JV808" s="2"/>
      <c r="JW808" s="2"/>
      <c r="JX808" s="2"/>
    </row>
    <row r="809" spans="1:28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  <c r="JJ809" s="2"/>
      <c r="JK809" s="2"/>
      <c r="JL809" s="2"/>
      <c r="JM809" s="2"/>
      <c r="JN809" s="2"/>
      <c r="JO809" s="2"/>
      <c r="JP809" s="2"/>
      <c r="JQ809" s="2"/>
      <c r="JR809" s="2"/>
      <c r="JS809" s="2"/>
      <c r="JT809" s="2"/>
      <c r="JU809" s="2"/>
      <c r="JV809" s="2"/>
      <c r="JW809" s="2"/>
      <c r="JX809" s="2"/>
    </row>
    <row r="810" spans="1:28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  <c r="JJ810" s="2"/>
      <c r="JK810" s="2"/>
      <c r="JL810" s="2"/>
      <c r="JM810" s="2"/>
      <c r="JN810" s="2"/>
      <c r="JO810" s="2"/>
      <c r="JP810" s="2"/>
      <c r="JQ810" s="2"/>
      <c r="JR810" s="2"/>
      <c r="JS810" s="2"/>
      <c r="JT810" s="2"/>
      <c r="JU810" s="2"/>
      <c r="JV810" s="2"/>
      <c r="JW810" s="2"/>
      <c r="JX810" s="2"/>
    </row>
    <row r="811" spans="1:28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  <c r="JJ811" s="2"/>
      <c r="JK811" s="2"/>
      <c r="JL811" s="2"/>
      <c r="JM811" s="2"/>
      <c r="JN811" s="2"/>
      <c r="JO811" s="2"/>
      <c r="JP811" s="2"/>
      <c r="JQ811" s="2"/>
      <c r="JR811" s="2"/>
      <c r="JS811" s="2"/>
      <c r="JT811" s="2"/>
      <c r="JU811" s="2"/>
      <c r="JV811" s="2"/>
      <c r="JW811" s="2"/>
      <c r="JX811" s="2"/>
    </row>
    <row r="812" spans="1:28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  <c r="JJ812" s="2"/>
      <c r="JK812" s="2"/>
      <c r="JL812" s="2"/>
      <c r="JM812" s="2"/>
      <c r="JN812" s="2"/>
      <c r="JO812" s="2"/>
      <c r="JP812" s="2"/>
      <c r="JQ812" s="2"/>
      <c r="JR812" s="2"/>
      <c r="JS812" s="2"/>
      <c r="JT812" s="2"/>
      <c r="JU812" s="2"/>
      <c r="JV812" s="2"/>
      <c r="JW812" s="2"/>
      <c r="JX812" s="2"/>
    </row>
    <row r="813" spans="1:28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  <c r="JJ813" s="2"/>
      <c r="JK813" s="2"/>
      <c r="JL813" s="2"/>
      <c r="JM813" s="2"/>
      <c r="JN813" s="2"/>
      <c r="JO813" s="2"/>
      <c r="JP813" s="2"/>
      <c r="JQ813" s="2"/>
      <c r="JR813" s="2"/>
      <c r="JS813" s="2"/>
      <c r="JT813" s="2"/>
      <c r="JU813" s="2"/>
      <c r="JV813" s="2"/>
      <c r="JW813" s="2"/>
      <c r="JX813" s="2"/>
    </row>
    <row r="814" spans="1:28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  <c r="JJ814" s="2"/>
      <c r="JK814" s="2"/>
      <c r="JL814" s="2"/>
      <c r="JM814" s="2"/>
      <c r="JN814" s="2"/>
      <c r="JO814" s="2"/>
      <c r="JP814" s="2"/>
      <c r="JQ814" s="2"/>
      <c r="JR814" s="2"/>
      <c r="JS814" s="2"/>
      <c r="JT814" s="2"/>
      <c r="JU814" s="2"/>
      <c r="JV814" s="2"/>
      <c r="JW814" s="2"/>
      <c r="JX814" s="2"/>
    </row>
    <row r="815" spans="1:28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  <c r="JJ815" s="2"/>
      <c r="JK815" s="2"/>
      <c r="JL815" s="2"/>
      <c r="JM815" s="2"/>
      <c r="JN815" s="2"/>
      <c r="JO815" s="2"/>
      <c r="JP815" s="2"/>
      <c r="JQ815" s="2"/>
      <c r="JR815" s="2"/>
      <c r="JS815" s="2"/>
      <c r="JT815" s="2"/>
      <c r="JU815" s="2"/>
      <c r="JV815" s="2"/>
      <c r="JW815" s="2"/>
      <c r="JX815" s="2"/>
    </row>
    <row r="816" spans="1:28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  <c r="JJ816" s="2"/>
      <c r="JK816" s="2"/>
      <c r="JL816" s="2"/>
      <c r="JM816" s="2"/>
      <c r="JN816" s="2"/>
      <c r="JO816" s="2"/>
      <c r="JP816" s="2"/>
      <c r="JQ816" s="2"/>
      <c r="JR816" s="2"/>
      <c r="JS816" s="2"/>
      <c r="JT816" s="2"/>
      <c r="JU816" s="2"/>
      <c r="JV816" s="2"/>
      <c r="JW816" s="2"/>
      <c r="JX816" s="2"/>
    </row>
    <row r="817" spans="1:28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  <c r="JJ817" s="2"/>
      <c r="JK817" s="2"/>
      <c r="JL817" s="2"/>
      <c r="JM817" s="2"/>
      <c r="JN817" s="2"/>
      <c r="JO817" s="2"/>
      <c r="JP817" s="2"/>
      <c r="JQ817" s="2"/>
      <c r="JR817" s="2"/>
      <c r="JS817" s="2"/>
      <c r="JT817" s="2"/>
      <c r="JU817" s="2"/>
      <c r="JV817" s="2"/>
      <c r="JW817" s="2"/>
      <c r="JX817" s="2"/>
    </row>
    <row r="818" spans="1:28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  <c r="JJ818" s="2"/>
      <c r="JK818" s="2"/>
      <c r="JL818" s="2"/>
      <c r="JM818" s="2"/>
      <c r="JN818" s="2"/>
      <c r="JO818" s="2"/>
      <c r="JP818" s="2"/>
      <c r="JQ818" s="2"/>
      <c r="JR818" s="2"/>
      <c r="JS818" s="2"/>
      <c r="JT818" s="2"/>
      <c r="JU818" s="2"/>
      <c r="JV818" s="2"/>
      <c r="JW818" s="2"/>
      <c r="JX818" s="2"/>
    </row>
    <row r="819" spans="1:28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  <c r="JJ819" s="2"/>
      <c r="JK819" s="2"/>
      <c r="JL819" s="2"/>
      <c r="JM819" s="2"/>
      <c r="JN819" s="2"/>
      <c r="JO819" s="2"/>
      <c r="JP819" s="2"/>
      <c r="JQ819" s="2"/>
      <c r="JR819" s="2"/>
      <c r="JS819" s="2"/>
      <c r="JT819" s="2"/>
      <c r="JU819" s="2"/>
      <c r="JV819" s="2"/>
      <c r="JW819" s="2"/>
      <c r="JX819" s="2"/>
    </row>
    <row r="820" spans="1:28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  <c r="JJ820" s="2"/>
      <c r="JK820" s="2"/>
      <c r="JL820" s="2"/>
      <c r="JM820" s="2"/>
      <c r="JN820" s="2"/>
      <c r="JO820" s="2"/>
      <c r="JP820" s="2"/>
      <c r="JQ820" s="2"/>
      <c r="JR820" s="2"/>
      <c r="JS820" s="2"/>
      <c r="JT820" s="2"/>
      <c r="JU820" s="2"/>
      <c r="JV820" s="2"/>
      <c r="JW820" s="2"/>
      <c r="JX820" s="2"/>
    </row>
    <row r="821" spans="1:28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  <c r="JJ821" s="2"/>
      <c r="JK821" s="2"/>
      <c r="JL821" s="2"/>
      <c r="JM821" s="2"/>
      <c r="JN821" s="2"/>
      <c r="JO821" s="2"/>
      <c r="JP821" s="2"/>
      <c r="JQ821" s="2"/>
      <c r="JR821" s="2"/>
      <c r="JS821" s="2"/>
      <c r="JT821" s="2"/>
      <c r="JU821" s="2"/>
      <c r="JV821" s="2"/>
      <c r="JW821" s="2"/>
      <c r="JX821" s="2"/>
    </row>
    <row r="822" spans="1:28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  <c r="JJ822" s="2"/>
      <c r="JK822" s="2"/>
      <c r="JL822" s="2"/>
      <c r="JM822" s="2"/>
      <c r="JN822" s="2"/>
      <c r="JO822" s="2"/>
      <c r="JP822" s="2"/>
      <c r="JQ822" s="2"/>
      <c r="JR822" s="2"/>
      <c r="JS822" s="2"/>
      <c r="JT822" s="2"/>
      <c r="JU822" s="2"/>
      <c r="JV822" s="2"/>
      <c r="JW822" s="2"/>
      <c r="JX822" s="2"/>
    </row>
    <row r="823" spans="1:28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  <c r="JJ823" s="2"/>
      <c r="JK823" s="2"/>
      <c r="JL823" s="2"/>
      <c r="JM823" s="2"/>
      <c r="JN823" s="2"/>
      <c r="JO823" s="2"/>
      <c r="JP823" s="2"/>
      <c r="JQ823" s="2"/>
      <c r="JR823" s="2"/>
      <c r="JS823" s="2"/>
      <c r="JT823" s="2"/>
      <c r="JU823" s="2"/>
      <c r="JV823" s="2"/>
      <c r="JW823" s="2"/>
      <c r="JX823" s="2"/>
    </row>
    <row r="824" spans="1:28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  <c r="JJ824" s="2"/>
      <c r="JK824" s="2"/>
      <c r="JL824" s="2"/>
      <c r="JM824" s="2"/>
      <c r="JN824" s="2"/>
      <c r="JO824" s="2"/>
      <c r="JP824" s="2"/>
      <c r="JQ824" s="2"/>
      <c r="JR824" s="2"/>
      <c r="JS824" s="2"/>
      <c r="JT824" s="2"/>
      <c r="JU824" s="2"/>
      <c r="JV824" s="2"/>
      <c r="JW824" s="2"/>
      <c r="JX824" s="2"/>
    </row>
    <row r="825" spans="1:28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  <c r="JJ825" s="2"/>
      <c r="JK825" s="2"/>
      <c r="JL825" s="2"/>
      <c r="JM825" s="2"/>
      <c r="JN825" s="2"/>
      <c r="JO825" s="2"/>
      <c r="JP825" s="2"/>
      <c r="JQ825" s="2"/>
      <c r="JR825" s="2"/>
      <c r="JS825" s="2"/>
      <c r="JT825" s="2"/>
      <c r="JU825" s="2"/>
      <c r="JV825" s="2"/>
      <c r="JW825" s="2"/>
      <c r="JX825" s="2"/>
    </row>
    <row r="826" spans="1:28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  <c r="JJ826" s="2"/>
      <c r="JK826" s="2"/>
      <c r="JL826" s="2"/>
      <c r="JM826" s="2"/>
      <c r="JN826" s="2"/>
      <c r="JO826" s="2"/>
      <c r="JP826" s="2"/>
      <c r="JQ826" s="2"/>
      <c r="JR826" s="2"/>
      <c r="JS826" s="2"/>
      <c r="JT826" s="2"/>
      <c r="JU826" s="2"/>
      <c r="JV826" s="2"/>
      <c r="JW826" s="2"/>
      <c r="JX826" s="2"/>
    </row>
    <row r="827" spans="1:28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  <c r="JJ827" s="2"/>
      <c r="JK827" s="2"/>
      <c r="JL827" s="2"/>
      <c r="JM827" s="2"/>
      <c r="JN827" s="2"/>
      <c r="JO827" s="2"/>
      <c r="JP827" s="2"/>
      <c r="JQ827" s="2"/>
      <c r="JR827" s="2"/>
      <c r="JS827" s="2"/>
      <c r="JT827" s="2"/>
      <c r="JU827" s="2"/>
      <c r="JV827" s="2"/>
      <c r="JW827" s="2"/>
      <c r="JX827" s="2"/>
    </row>
    <row r="828" spans="1:28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  <c r="JJ828" s="2"/>
      <c r="JK828" s="2"/>
      <c r="JL828" s="2"/>
      <c r="JM828" s="2"/>
      <c r="JN828" s="2"/>
      <c r="JO828" s="2"/>
      <c r="JP828" s="2"/>
      <c r="JQ828" s="2"/>
      <c r="JR828" s="2"/>
      <c r="JS828" s="2"/>
      <c r="JT828" s="2"/>
      <c r="JU828" s="2"/>
      <c r="JV828" s="2"/>
      <c r="JW828" s="2"/>
      <c r="JX828" s="2"/>
    </row>
    <row r="829" spans="1:28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  <c r="JJ829" s="2"/>
      <c r="JK829" s="2"/>
      <c r="JL829" s="2"/>
      <c r="JM829" s="2"/>
      <c r="JN829" s="2"/>
      <c r="JO829" s="2"/>
      <c r="JP829" s="2"/>
      <c r="JQ829" s="2"/>
      <c r="JR829" s="2"/>
      <c r="JS829" s="2"/>
      <c r="JT829" s="2"/>
      <c r="JU829" s="2"/>
      <c r="JV829" s="2"/>
      <c r="JW829" s="2"/>
      <c r="JX829" s="2"/>
    </row>
    <row r="830" spans="1:28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  <c r="JJ830" s="2"/>
      <c r="JK830" s="2"/>
      <c r="JL830" s="2"/>
      <c r="JM830" s="2"/>
      <c r="JN830" s="2"/>
      <c r="JO830" s="2"/>
      <c r="JP830" s="2"/>
      <c r="JQ830" s="2"/>
      <c r="JR830" s="2"/>
      <c r="JS830" s="2"/>
      <c r="JT830" s="2"/>
      <c r="JU830" s="2"/>
      <c r="JV830" s="2"/>
      <c r="JW830" s="2"/>
      <c r="JX830" s="2"/>
    </row>
    <row r="831" spans="1:28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  <c r="JJ831" s="2"/>
      <c r="JK831" s="2"/>
      <c r="JL831" s="2"/>
      <c r="JM831" s="2"/>
      <c r="JN831" s="2"/>
      <c r="JO831" s="2"/>
      <c r="JP831" s="2"/>
      <c r="JQ831" s="2"/>
      <c r="JR831" s="2"/>
      <c r="JS831" s="2"/>
      <c r="JT831" s="2"/>
      <c r="JU831" s="2"/>
      <c r="JV831" s="2"/>
      <c r="JW831" s="2"/>
      <c r="JX831" s="2"/>
    </row>
    <row r="832" spans="1:28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  <c r="JJ832" s="2"/>
      <c r="JK832" s="2"/>
      <c r="JL832" s="2"/>
      <c r="JM832" s="2"/>
      <c r="JN832" s="2"/>
      <c r="JO832" s="2"/>
      <c r="JP832" s="2"/>
      <c r="JQ832" s="2"/>
      <c r="JR832" s="2"/>
      <c r="JS832" s="2"/>
      <c r="JT832" s="2"/>
      <c r="JU832" s="2"/>
      <c r="JV832" s="2"/>
      <c r="JW832" s="2"/>
      <c r="JX832" s="2"/>
    </row>
    <row r="833" spans="1:28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  <c r="JJ833" s="2"/>
      <c r="JK833" s="2"/>
      <c r="JL833" s="2"/>
      <c r="JM833" s="2"/>
      <c r="JN833" s="2"/>
      <c r="JO833" s="2"/>
      <c r="JP833" s="2"/>
      <c r="JQ833" s="2"/>
      <c r="JR833" s="2"/>
      <c r="JS833" s="2"/>
      <c r="JT833" s="2"/>
      <c r="JU833" s="2"/>
      <c r="JV833" s="2"/>
      <c r="JW833" s="2"/>
      <c r="JX833" s="2"/>
    </row>
    <row r="834" spans="1:28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  <c r="JJ834" s="2"/>
      <c r="JK834" s="2"/>
      <c r="JL834" s="2"/>
      <c r="JM834" s="2"/>
      <c r="JN834" s="2"/>
      <c r="JO834" s="2"/>
      <c r="JP834" s="2"/>
      <c r="JQ834" s="2"/>
      <c r="JR834" s="2"/>
      <c r="JS834" s="2"/>
      <c r="JT834" s="2"/>
      <c r="JU834" s="2"/>
      <c r="JV834" s="2"/>
      <c r="JW834" s="2"/>
      <c r="JX834" s="2"/>
    </row>
    <row r="835" spans="1:28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  <c r="JJ835" s="2"/>
      <c r="JK835" s="2"/>
      <c r="JL835" s="2"/>
      <c r="JM835" s="2"/>
      <c r="JN835" s="2"/>
      <c r="JO835" s="2"/>
      <c r="JP835" s="2"/>
      <c r="JQ835" s="2"/>
      <c r="JR835" s="2"/>
      <c r="JS835" s="2"/>
      <c r="JT835" s="2"/>
      <c r="JU835" s="2"/>
      <c r="JV835" s="2"/>
      <c r="JW835" s="2"/>
      <c r="JX835" s="2"/>
    </row>
    <row r="836" spans="1:28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  <c r="JJ836" s="2"/>
      <c r="JK836" s="2"/>
      <c r="JL836" s="2"/>
      <c r="JM836" s="2"/>
      <c r="JN836" s="2"/>
      <c r="JO836" s="2"/>
      <c r="JP836" s="2"/>
      <c r="JQ836" s="2"/>
      <c r="JR836" s="2"/>
      <c r="JS836" s="2"/>
      <c r="JT836" s="2"/>
      <c r="JU836" s="2"/>
      <c r="JV836" s="2"/>
      <c r="JW836" s="2"/>
      <c r="JX836" s="2"/>
    </row>
    <row r="837" spans="1:28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  <c r="JJ837" s="2"/>
      <c r="JK837" s="2"/>
      <c r="JL837" s="2"/>
      <c r="JM837" s="2"/>
      <c r="JN837" s="2"/>
      <c r="JO837" s="2"/>
      <c r="JP837" s="2"/>
      <c r="JQ837" s="2"/>
      <c r="JR837" s="2"/>
      <c r="JS837" s="2"/>
      <c r="JT837" s="2"/>
      <c r="JU837" s="2"/>
      <c r="JV837" s="2"/>
      <c r="JW837" s="2"/>
      <c r="JX837" s="2"/>
    </row>
    <row r="838" spans="1:28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  <c r="JJ838" s="2"/>
      <c r="JK838" s="2"/>
      <c r="JL838" s="2"/>
      <c r="JM838" s="2"/>
      <c r="JN838" s="2"/>
      <c r="JO838" s="2"/>
      <c r="JP838" s="2"/>
      <c r="JQ838" s="2"/>
      <c r="JR838" s="2"/>
      <c r="JS838" s="2"/>
      <c r="JT838" s="2"/>
      <c r="JU838" s="2"/>
      <c r="JV838" s="2"/>
      <c r="JW838" s="2"/>
      <c r="JX838" s="2"/>
    </row>
    <row r="839" spans="1:28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  <c r="JJ839" s="2"/>
      <c r="JK839" s="2"/>
      <c r="JL839" s="2"/>
      <c r="JM839" s="2"/>
      <c r="JN839" s="2"/>
      <c r="JO839" s="2"/>
      <c r="JP839" s="2"/>
      <c r="JQ839" s="2"/>
      <c r="JR839" s="2"/>
      <c r="JS839" s="2"/>
      <c r="JT839" s="2"/>
      <c r="JU839" s="2"/>
      <c r="JV839" s="2"/>
      <c r="JW839" s="2"/>
      <c r="JX839" s="2"/>
    </row>
    <row r="840" spans="1:28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  <c r="JJ840" s="2"/>
      <c r="JK840" s="2"/>
      <c r="JL840" s="2"/>
      <c r="JM840" s="2"/>
      <c r="JN840" s="2"/>
      <c r="JO840" s="2"/>
      <c r="JP840" s="2"/>
      <c r="JQ840" s="2"/>
      <c r="JR840" s="2"/>
      <c r="JS840" s="2"/>
      <c r="JT840" s="2"/>
      <c r="JU840" s="2"/>
      <c r="JV840" s="2"/>
      <c r="JW840" s="2"/>
      <c r="JX840" s="2"/>
    </row>
    <row r="841" spans="1:28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  <c r="JJ841" s="2"/>
      <c r="JK841" s="2"/>
      <c r="JL841" s="2"/>
      <c r="JM841" s="2"/>
      <c r="JN841" s="2"/>
      <c r="JO841" s="2"/>
      <c r="JP841" s="2"/>
      <c r="JQ841" s="2"/>
      <c r="JR841" s="2"/>
      <c r="JS841" s="2"/>
      <c r="JT841" s="2"/>
      <c r="JU841" s="2"/>
      <c r="JV841" s="2"/>
      <c r="JW841" s="2"/>
      <c r="JX841" s="2"/>
    </row>
    <row r="842" spans="1:28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  <c r="JJ842" s="2"/>
      <c r="JK842" s="2"/>
      <c r="JL842" s="2"/>
      <c r="JM842" s="2"/>
      <c r="JN842" s="2"/>
      <c r="JO842" s="2"/>
      <c r="JP842" s="2"/>
      <c r="JQ842" s="2"/>
      <c r="JR842" s="2"/>
      <c r="JS842" s="2"/>
      <c r="JT842" s="2"/>
      <c r="JU842" s="2"/>
      <c r="JV842" s="2"/>
      <c r="JW842" s="2"/>
      <c r="JX842" s="2"/>
    </row>
    <row r="843" spans="1:28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  <c r="JJ843" s="2"/>
      <c r="JK843" s="2"/>
      <c r="JL843" s="2"/>
      <c r="JM843" s="2"/>
      <c r="JN843" s="2"/>
      <c r="JO843" s="2"/>
      <c r="JP843" s="2"/>
      <c r="JQ843" s="2"/>
      <c r="JR843" s="2"/>
      <c r="JS843" s="2"/>
      <c r="JT843" s="2"/>
      <c r="JU843" s="2"/>
      <c r="JV843" s="2"/>
      <c r="JW843" s="2"/>
      <c r="JX843" s="2"/>
    </row>
    <row r="844" spans="1:28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  <c r="JJ844" s="2"/>
      <c r="JK844" s="2"/>
      <c r="JL844" s="2"/>
      <c r="JM844" s="2"/>
      <c r="JN844" s="2"/>
      <c r="JO844" s="2"/>
      <c r="JP844" s="2"/>
      <c r="JQ844" s="2"/>
      <c r="JR844" s="2"/>
      <c r="JS844" s="2"/>
      <c r="JT844" s="2"/>
      <c r="JU844" s="2"/>
      <c r="JV844" s="2"/>
      <c r="JW844" s="2"/>
      <c r="JX844" s="2"/>
    </row>
    <row r="845" spans="1:28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  <c r="JJ845" s="2"/>
      <c r="JK845" s="2"/>
      <c r="JL845" s="2"/>
      <c r="JM845" s="2"/>
      <c r="JN845" s="2"/>
      <c r="JO845" s="2"/>
      <c r="JP845" s="2"/>
      <c r="JQ845" s="2"/>
      <c r="JR845" s="2"/>
      <c r="JS845" s="2"/>
      <c r="JT845" s="2"/>
      <c r="JU845" s="2"/>
      <c r="JV845" s="2"/>
      <c r="JW845" s="2"/>
      <c r="JX845" s="2"/>
    </row>
    <row r="846" spans="1:28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  <c r="JJ846" s="2"/>
      <c r="JK846" s="2"/>
      <c r="JL846" s="2"/>
      <c r="JM846" s="2"/>
      <c r="JN846" s="2"/>
      <c r="JO846" s="2"/>
      <c r="JP846" s="2"/>
      <c r="JQ846" s="2"/>
      <c r="JR846" s="2"/>
      <c r="JS846" s="2"/>
      <c r="JT846" s="2"/>
      <c r="JU846" s="2"/>
      <c r="JV846" s="2"/>
      <c r="JW846" s="2"/>
      <c r="JX846" s="2"/>
    </row>
    <row r="847" spans="1:28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  <c r="JJ847" s="2"/>
      <c r="JK847" s="2"/>
      <c r="JL847" s="2"/>
      <c r="JM847" s="2"/>
      <c r="JN847" s="2"/>
      <c r="JO847" s="2"/>
      <c r="JP847" s="2"/>
      <c r="JQ847" s="2"/>
      <c r="JR847" s="2"/>
      <c r="JS847" s="2"/>
      <c r="JT847" s="2"/>
      <c r="JU847" s="2"/>
      <c r="JV847" s="2"/>
      <c r="JW847" s="2"/>
      <c r="JX847" s="2"/>
    </row>
    <row r="848" spans="1:28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  <c r="JJ848" s="2"/>
      <c r="JK848" s="2"/>
      <c r="JL848" s="2"/>
      <c r="JM848" s="2"/>
      <c r="JN848" s="2"/>
      <c r="JO848" s="2"/>
      <c r="JP848" s="2"/>
      <c r="JQ848" s="2"/>
      <c r="JR848" s="2"/>
      <c r="JS848" s="2"/>
      <c r="JT848" s="2"/>
      <c r="JU848" s="2"/>
      <c r="JV848" s="2"/>
      <c r="JW848" s="2"/>
      <c r="JX848" s="2"/>
    </row>
    <row r="849" spans="1:28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  <c r="JJ849" s="2"/>
      <c r="JK849" s="2"/>
      <c r="JL849" s="2"/>
      <c r="JM849" s="2"/>
      <c r="JN849" s="2"/>
      <c r="JO849" s="2"/>
      <c r="JP849" s="2"/>
      <c r="JQ849" s="2"/>
      <c r="JR849" s="2"/>
      <c r="JS849" s="2"/>
      <c r="JT849" s="2"/>
      <c r="JU849" s="2"/>
      <c r="JV849" s="2"/>
      <c r="JW849" s="2"/>
      <c r="JX849" s="2"/>
    </row>
    <row r="850" spans="1:28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  <c r="JJ850" s="2"/>
      <c r="JK850" s="2"/>
      <c r="JL850" s="2"/>
      <c r="JM850" s="2"/>
      <c r="JN850" s="2"/>
      <c r="JO850" s="2"/>
      <c r="JP850" s="2"/>
      <c r="JQ850" s="2"/>
      <c r="JR850" s="2"/>
      <c r="JS850" s="2"/>
      <c r="JT850" s="2"/>
      <c r="JU850" s="2"/>
      <c r="JV850" s="2"/>
      <c r="JW850" s="2"/>
      <c r="JX850" s="2"/>
    </row>
    <row r="851" spans="1:28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  <c r="JJ851" s="2"/>
      <c r="JK851" s="2"/>
      <c r="JL851" s="2"/>
      <c r="JM851" s="2"/>
      <c r="JN851" s="2"/>
      <c r="JO851" s="2"/>
      <c r="JP851" s="2"/>
      <c r="JQ851" s="2"/>
      <c r="JR851" s="2"/>
      <c r="JS851" s="2"/>
      <c r="JT851" s="2"/>
      <c r="JU851" s="2"/>
      <c r="JV851" s="2"/>
      <c r="JW851" s="2"/>
      <c r="JX851" s="2"/>
    </row>
    <row r="852" spans="1:28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  <c r="JJ852" s="2"/>
      <c r="JK852" s="2"/>
      <c r="JL852" s="2"/>
      <c r="JM852" s="2"/>
      <c r="JN852" s="2"/>
      <c r="JO852" s="2"/>
      <c r="JP852" s="2"/>
      <c r="JQ852" s="2"/>
      <c r="JR852" s="2"/>
      <c r="JS852" s="2"/>
      <c r="JT852" s="2"/>
      <c r="JU852" s="2"/>
      <c r="JV852" s="2"/>
      <c r="JW852" s="2"/>
      <c r="JX852" s="2"/>
    </row>
    <row r="853" spans="1:28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  <c r="JJ853" s="2"/>
      <c r="JK853" s="2"/>
      <c r="JL853" s="2"/>
      <c r="JM853" s="2"/>
      <c r="JN853" s="2"/>
      <c r="JO853" s="2"/>
      <c r="JP853" s="2"/>
      <c r="JQ853" s="2"/>
      <c r="JR853" s="2"/>
      <c r="JS853" s="2"/>
      <c r="JT853" s="2"/>
      <c r="JU853" s="2"/>
      <c r="JV853" s="2"/>
      <c r="JW853" s="2"/>
      <c r="JX853" s="2"/>
    </row>
    <row r="854" spans="1:28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  <c r="JJ854" s="2"/>
      <c r="JK854" s="2"/>
      <c r="JL854" s="2"/>
      <c r="JM854" s="2"/>
      <c r="JN854" s="2"/>
      <c r="JO854" s="2"/>
      <c r="JP854" s="2"/>
      <c r="JQ854" s="2"/>
      <c r="JR854" s="2"/>
      <c r="JS854" s="2"/>
      <c r="JT854" s="2"/>
      <c r="JU854" s="2"/>
      <c r="JV854" s="2"/>
      <c r="JW854" s="2"/>
      <c r="JX854" s="2"/>
    </row>
    <row r="855" spans="1:28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  <c r="JJ855" s="2"/>
      <c r="JK855" s="2"/>
      <c r="JL855" s="2"/>
      <c r="JM855" s="2"/>
      <c r="JN855" s="2"/>
      <c r="JO855" s="2"/>
      <c r="JP855" s="2"/>
      <c r="JQ855" s="2"/>
      <c r="JR855" s="2"/>
      <c r="JS855" s="2"/>
      <c r="JT855" s="2"/>
      <c r="JU855" s="2"/>
      <c r="JV855" s="2"/>
      <c r="JW855" s="2"/>
      <c r="JX855" s="2"/>
    </row>
    <row r="856" spans="1:28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  <c r="JJ856" s="2"/>
      <c r="JK856" s="2"/>
      <c r="JL856" s="2"/>
      <c r="JM856" s="2"/>
      <c r="JN856" s="2"/>
      <c r="JO856" s="2"/>
      <c r="JP856" s="2"/>
      <c r="JQ856" s="2"/>
      <c r="JR856" s="2"/>
      <c r="JS856" s="2"/>
      <c r="JT856" s="2"/>
      <c r="JU856" s="2"/>
      <c r="JV856" s="2"/>
      <c r="JW856" s="2"/>
      <c r="JX856" s="2"/>
    </row>
    <row r="857" spans="1:28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  <c r="JJ857" s="2"/>
      <c r="JK857" s="2"/>
      <c r="JL857" s="2"/>
      <c r="JM857" s="2"/>
      <c r="JN857" s="2"/>
      <c r="JO857" s="2"/>
      <c r="JP857" s="2"/>
      <c r="JQ857" s="2"/>
      <c r="JR857" s="2"/>
      <c r="JS857" s="2"/>
      <c r="JT857" s="2"/>
      <c r="JU857" s="2"/>
      <c r="JV857" s="2"/>
      <c r="JW857" s="2"/>
      <c r="JX857" s="2"/>
    </row>
    <row r="858" spans="1:28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  <c r="JJ858" s="2"/>
      <c r="JK858" s="2"/>
      <c r="JL858" s="2"/>
      <c r="JM858" s="2"/>
      <c r="JN858" s="2"/>
      <c r="JO858" s="2"/>
      <c r="JP858" s="2"/>
      <c r="JQ858" s="2"/>
      <c r="JR858" s="2"/>
      <c r="JS858" s="2"/>
      <c r="JT858" s="2"/>
      <c r="JU858" s="2"/>
      <c r="JV858" s="2"/>
      <c r="JW858" s="2"/>
      <c r="JX858" s="2"/>
    </row>
    <row r="859" spans="1:28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  <c r="JJ859" s="2"/>
      <c r="JK859" s="2"/>
      <c r="JL859" s="2"/>
      <c r="JM859" s="2"/>
      <c r="JN859" s="2"/>
      <c r="JO859" s="2"/>
      <c r="JP859" s="2"/>
      <c r="JQ859" s="2"/>
      <c r="JR859" s="2"/>
      <c r="JS859" s="2"/>
      <c r="JT859" s="2"/>
      <c r="JU859" s="2"/>
      <c r="JV859" s="2"/>
      <c r="JW859" s="2"/>
      <c r="JX859" s="2"/>
    </row>
    <row r="860" spans="1:28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  <c r="JJ860" s="2"/>
      <c r="JK860" s="2"/>
      <c r="JL860" s="2"/>
      <c r="JM860" s="2"/>
      <c r="JN860" s="2"/>
      <c r="JO860" s="2"/>
      <c r="JP860" s="2"/>
      <c r="JQ860" s="2"/>
      <c r="JR860" s="2"/>
      <c r="JS860" s="2"/>
      <c r="JT860" s="2"/>
      <c r="JU860" s="2"/>
      <c r="JV860" s="2"/>
      <c r="JW860" s="2"/>
      <c r="JX860" s="2"/>
    </row>
    <row r="861" spans="1:28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  <c r="JJ861" s="2"/>
      <c r="JK861" s="2"/>
      <c r="JL861" s="2"/>
      <c r="JM861" s="2"/>
      <c r="JN861" s="2"/>
      <c r="JO861" s="2"/>
      <c r="JP861" s="2"/>
      <c r="JQ861" s="2"/>
      <c r="JR861" s="2"/>
      <c r="JS861" s="2"/>
      <c r="JT861" s="2"/>
      <c r="JU861" s="2"/>
      <c r="JV861" s="2"/>
      <c r="JW861" s="2"/>
      <c r="JX861" s="2"/>
    </row>
    <row r="862" spans="1:28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  <c r="JJ862" s="2"/>
      <c r="JK862" s="2"/>
      <c r="JL862" s="2"/>
      <c r="JM862" s="2"/>
      <c r="JN862" s="2"/>
      <c r="JO862" s="2"/>
      <c r="JP862" s="2"/>
      <c r="JQ862" s="2"/>
      <c r="JR862" s="2"/>
      <c r="JS862" s="2"/>
      <c r="JT862" s="2"/>
      <c r="JU862" s="2"/>
      <c r="JV862" s="2"/>
      <c r="JW862" s="2"/>
      <c r="JX862" s="2"/>
    </row>
    <row r="863" spans="1:28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  <c r="JJ863" s="2"/>
      <c r="JK863" s="2"/>
      <c r="JL863" s="2"/>
      <c r="JM863" s="2"/>
      <c r="JN863" s="2"/>
      <c r="JO863" s="2"/>
      <c r="JP863" s="2"/>
      <c r="JQ863" s="2"/>
      <c r="JR863" s="2"/>
      <c r="JS863" s="2"/>
      <c r="JT863" s="2"/>
      <c r="JU863" s="2"/>
      <c r="JV863" s="2"/>
      <c r="JW863" s="2"/>
      <c r="JX863" s="2"/>
    </row>
    <row r="864" spans="1:28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  <c r="JJ864" s="2"/>
      <c r="JK864" s="2"/>
      <c r="JL864" s="2"/>
      <c r="JM864" s="2"/>
      <c r="JN864" s="2"/>
      <c r="JO864" s="2"/>
      <c r="JP864" s="2"/>
      <c r="JQ864" s="2"/>
      <c r="JR864" s="2"/>
      <c r="JS864" s="2"/>
      <c r="JT864" s="2"/>
      <c r="JU864" s="2"/>
      <c r="JV864" s="2"/>
      <c r="JW864" s="2"/>
      <c r="JX864" s="2"/>
    </row>
    <row r="865" spans="1:28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  <c r="JJ865" s="2"/>
      <c r="JK865" s="2"/>
      <c r="JL865" s="2"/>
      <c r="JM865" s="2"/>
      <c r="JN865" s="2"/>
      <c r="JO865" s="2"/>
      <c r="JP865" s="2"/>
      <c r="JQ865" s="2"/>
      <c r="JR865" s="2"/>
      <c r="JS865" s="2"/>
      <c r="JT865" s="2"/>
      <c r="JU865" s="2"/>
      <c r="JV865" s="2"/>
      <c r="JW865" s="2"/>
      <c r="JX865" s="2"/>
    </row>
    <row r="866" spans="1:28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  <c r="JJ866" s="2"/>
      <c r="JK866" s="2"/>
      <c r="JL866" s="2"/>
      <c r="JM866" s="2"/>
      <c r="JN866" s="2"/>
      <c r="JO866" s="2"/>
      <c r="JP866" s="2"/>
      <c r="JQ866" s="2"/>
      <c r="JR866" s="2"/>
      <c r="JS866" s="2"/>
      <c r="JT866" s="2"/>
      <c r="JU866" s="2"/>
      <c r="JV866" s="2"/>
      <c r="JW866" s="2"/>
      <c r="JX866" s="2"/>
    </row>
    <row r="867" spans="1:28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  <c r="JJ867" s="2"/>
      <c r="JK867" s="2"/>
      <c r="JL867" s="2"/>
      <c r="JM867" s="2"/>
      <c r="JN867" s="2"/>
      <c r="JO867" s="2"/>
      <c r="JP867" s="2"/>
      <c r="JQ867" s="2"/>
      <c r="JR867" s="2"/>
      <c r="JS867" s="2"/>
      <c r="JT867" s="2"/>
      <c r="JU867" s="2"/>
      <c r="JV867" s="2"/>
      <c r="JW867" s="2"/>
      <c r="JX867" s="2"/>
    </row>
    <row r="868" spans="1:28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  <c r="JJ868" s="2"/>
      <c r="JK868" s="2"/>
      <c r="JL868" s="2"/>
      <c r="JM868" s="2"/>
      <c r="JN868" s="2"/>
      <c r="JO868" s="2"/>
      <c r="JP868" s="2"/>
      <c r="JQ868" s="2"/>
      <c r="JR868" s="2"/>
      <c r="JS868" s="2"/>
      <c r="JT868" s="2"/>
      <c r="JU868" s="2"/>
      <c r="JV868" s="2"/>
      <c r="JW868" s="2"/>
      <c r="JX868" s="2"/>
    </row>
    <row r="869" spans="1:28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  <c r="JJ869" s="2"/>
      <c r="JK869" s="2"/>
      <c r="JL869" s="2"/>
      <c r="JM869" s="2"/>
      <c r="JN869" s="2"/>
      <c r="JO869" s="2"/>
      <c r="JP869" s="2"/>
      <c r="JQ869" s="2"/>
      <c r="JR869" s="2"/>
      <c r="JS869" s="2"/>
      <c r="JT869" s="2"/>
      <c r="JU869" s="2"/>
      <c r="JV869" s="2"/>
      <c r="JW869" s="2"/>
      <c r="JX869" s="2"/>
    </row>
    <row r="870" spans="1:28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  <c r="JJ870" s="2"/>
      <c r="JK870" s="2"/>
      <c r="JL870" s="2"/>
      <c r="JM870" s="2"/>
      <c r="JN870" s="2"/>
      <c r="JO870" s="2"/>
      <c r="JP870" s="2"/>
      <c r="JQ870" s="2"/>
      <c r="JR870" s="2"/>
      <c r="JS870" s="2"/>
      <c r="JT870" s="2"/>
      <c r="JU870" s="2"/>
      <c r="JV870" s="2"/>
      <c r="JW870" s="2"/>
      <c r="JX870" s="2"/>
    </row>
    <row r="871" spans="1:28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  <c r="JJ871" s="2"/>
      <c r="JK871" s="2"/>
      <c r="JL871" s="2"/>
      <c r="JM871" s="2"/>
      <c r="JN871" s="2"/>
      <c r="JO871" s="2"/>
      <c r="JP871" s="2"/>
      <c r="JQ871" s="2"/>
      <c r="JR871" s="2"/>
      <c r="JS871" s="2"/>
      <c r="JT871" s="2"/>
      <c r="JU871" s="2"/>
      <c r="JV871" s="2"/>
      <c r="JW871" s="2"/>
      <c r="JX871" s="2"/>
    </row>
    <row r="872" spans="1:28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  <c r="JJ872" s="2"/>
      <c r="JK872" s="2"/>
      <c r="JL872" s="2"/>
      <c r="JM872" s="2"/>
      <c r="JN872" s="2"/>
      <c r="JO872" s="2"/>
      <c r="JP872" s="2"/>
      <c r="JQ872" s="2"/>
      <c r="JR872" s="2"/>
      <c r="JS872" s="2"/>
      <c r="JT872" s="2"/>
      <c r="JU872" s="2"/>
      <c r="JV872" s="2"/>
      <c r="JW872" s="2"/>
      <c r="JX872" s="2"/>
    </row>
    <row r="873" spans="1:28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  <c r="JJ873" s="2"/>
      <c r="JK873" s="2"/>
      <c r="JL873" s="2"/>
      <c r="JM873" s="2"/>
      <c r="JN873" s="2"/>
      <c r="JO873" s="2"/>
      <c r="JP873" s="2"/>
      <c r="JQ873" s="2"/>
      <c r="JR873" s="2"/>
      <c r="JS873" s="2"/>
      <c r="JT873" s="2"/>
      <c r="JU873" s="2"/>
      <c r="JV873" s="2"/>
      <c r="JW873" s="2"/>
      <c r="JX873" s="2"/>
    </row>
    <row r="874" spans="1:28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  <c r="JJ874" s="2"/>
      <c r="JK874" s="2"/>
      <c r="JL874" s="2"/>
      <c r="JM874" s="2"/>
      <c r="JN874" s="2"/>
      <c r="JO874" s="2"/>
      <c r="JP874" s="2"/>
      <c r="JQ874" s="2"/>
      <c r="JR874" s="2"/>
      <c r="JS874" s="2"/>
      <c r="JT874" s="2"/>
      <c r="JU874" s="2"/>
      <c r="JV874" s="2"/>
      <c r="JW874" s="2"/>
      <c r="JX874" s="2"/>
    </row>
    <row r="875" spans="1:28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  <c r="JJ875" s="2"/>
      <c r="JK875" s="2"/>
      <c r="JL875" s="2"/>
      <c r="JM875" s="2"/>
      <c r="JN875" s="2"/>
      <c r="JO875" s="2"/>
      <c r="JP875" s="2"/>
      <c r="JQ875" s="2"/>
      <c r="JR875" s="2"/>
      <c r="JS875" s="2"/>
      <c r="JT875" s="2"/>
      <c r="JU875" s="2"/>
      <c r="JV875" s="2"/>
      <c r="JW875" s="2"/>
      <c r="JX875" s="2"/>
    </row>
    <row r="876" spans="1:28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  <c r="JJ876" s="2"/>
      <c r="JK876" s="2"/>
      <c r="JL876" s="2"/>
      <c r="JM876" s="2"/>
      <c r="JN876" s="2"/>
      <c r="JO876" s="2"/>
      <c r="JP876" s="2"/>
      <c r="JQ876" s="2"/>
      <c r="JR876" s="2"/>
      <c r="JS876" s="2"/>
      <c r="JT876" s="2"/>
      <c r="JU876" s="2"/>
      <c r="JV876" s="2"/>
      <c r="JW876" s="2"/>
      <c r="JX876" s="2"/>
    </row>
    <row r="877" spans="1:28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  <c r="JJ877" s="2"/>
      <c r="JK877" s="2"/>
      <c r="JL877" s="2"/>
      <c r="JM877" s="2"/>
      <c r="JN877" s="2"/>
      <c r="JO877" s="2"/>
      <c r="JP877" s="2"/>
      <c r="JQ877" s="2"/>
      <c r="JR877" s="2"/>
      <c r="JS877" s="2"/>
      <c r="JT877" s="2"/>
      <c r="JU877" s="2"/>
      <c r="JV877" s="2"/>
      <c r="JW877" s="2"/>
      <c r="JX877" s="2"/>
    </row>
    <row r="878" spans="1:28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  <c r="JJ878" s="2"/>
      <c r="JK878" s="2"/>
      <c r="JL878" s="2"/>
      <c r="JM878" s="2"/>
      <c r="JN878" s="2"/>
      <c r="JO878" s="2"/>
      <c r="JP878" s="2"/>
      <c r="JQ878" s="2"/>
      <c r="JR878" s="2"/>
      <c r="JS878" s="2"/>
      <c r="JT878" s="2"/>
      <c r="JU878" s="2"/>
      <c r="JV878" s="2"/>
      <c r="JW878" s="2"/>
      <c r="JX878" s="2"/>
    </row>
    <row r="879" spans="1:28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  <c r="JJ879" s="2"/>
      <c r="JK879" s="2"/>
      <c r="JL879" s="2"/>
      <c r="JM879" s="2"/>
      <c r="JN879" s="2"/>
      <c r="JO879" s="2"/>
      <c r="JP879" s="2"/>
      <c r="JQ879" s="2"/>
      <c r="JR879" s="2"/>
      <c r="JS879" s="2"/>
      <c r="JT879" s="2"/>
      <c r="JU879" s="2"/>
      <c r="JV879" s="2"/>
      <c r="JW879" s="2"/>
      <c r="JX879" s="2"/>
    </row>
    <row r="880" spans="1:28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  <c r="JJ880" s="2"/>
      <c r="JK880" s="2"/>
      <c r="JL880" s="2"/>
      <c r="JM880" s="2"/>
      <c r="JN880" s="2"/>
      <c r="JO880" s="2"/>
      <c r="JP880" s="2"/>
      <c r="JQ880" s="2"/>
      <c r="JR880" s="2"/>
      <c r="JS880" s="2"/>
      <c r="JT880" s="2"/>
      <c r="JU880" s="2"/>
      <c r="JV880" s="2"/>
      <c r="JW880" s="2"/>
      <c r="JX880" s="2"/>
    </row>
    <row r="881" spans="1:28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  <c r="JJ881" s="2"/>
      <c r="JK881" s="2"/>
      <c r="JL881" s="2"/>
      <c r="JM881" s="2"/>
      <c r="JN881" s="2"/>
      <c r="JO881" s="2"/>
      <c r="JP881" s="2"/>
      <c r="JQ881" s="2"/>
      <c r="JR881" s="2"/>
      <c r="JS881" s="2"/>
      <c r="JT881" s="2"/>
      <c r="JU881" s="2"/>
      <c r="JV881" s="2"/>
      <c r="JW881" s="2"/>
      <c r="JX881" s="2"/>
    </row>
    <row r="882" spans="1:28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  <c r="JJ882" s="2"/>
      <c r="JK882" s="2"/>
      <c r="JL882" s="2"/>
      <c r="JM882" s="2"/>
      <c r="JN882" s="2"/>
      <c r="JO882" s="2"/>
      <c r="JP882" s="2"/>
      <c r="JQ882" s="2"/>
      <c r="JR882" s="2"/>
      <c r="JS882" s="2"/>
      <c r="JT882" s="2"/>
      <c r="JU882" s="2"/>
      <c r="JV882" s="2"/>
      <c r="JW882" s="2"/>
      <c r="JX882" s="2"/>
    </row>
    <row r="883" spans="1:28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  <c r="JJ883" s="2"/>
      <c r="JK883" s="2"/>
      <c r="JL883" s="2"/>
      <c r="JM883" s="2"/>
      <c r="JN883" s="2"/>
      <c r="JO883" s="2"/>
      <c r="JP883" s="2"/>
      <c r="JQ883" s="2"/>
      <c r="JR883" s="2"/>
      <c r="JS883" s="2"/>
      <c r="JT883" s="2"/>
      <c r="JU883" s="2"/>
      <c r="JV883" s="2"/>
      <c r="JW883" s="2"/>
      <c r="JX883" s="2"/>
    </row>
    <row r="884" spans="1:2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  <c r="JJ884" s="2"/>
      <c r="JK884" s="2"/>
      <c r="JL884" s="2"/>
      <c r="JM884" s="2"/>
      <c r="JN884" s="2"/>
      <c r="JO884" s="2"/>
      <c r="JP884" s="2"/>
      <c r="JQ884" s="2"/>
      <c r="JR884" s="2"/>
      <c r="JS884" s="2"/>
      <c r="JT884" s="2"/>
      <c r="JU884" s="2"/>
      <c r="JV884" s="2"/>
      <c r="JW884" s="2"/>
      <c r="JX884" s="2"/>
    </row>
    <row r="885" spans="1:28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  <c r="JJ885" s="2"/>
      <c r="JK885" s="2"/>
      <c r="JL885" s="2"/>
      <c r="JM885" s="2"/>
      <c r="JN885" s="2"/>
      <c r="JO885" s="2"/>
      <c r="JP885" s="2"/>
      <c r="JQ885" s="2"/>
      <c r="JR885" s="2"/>
      <c r="JS885" s="2"/>
      <c r="JT885" s="2"/>
      <c r="JU885" s="2"/>
      <c r="JV885" s="2"/>
      <c r="JW885" s="2"/>
      <c r="JX885" s="2"/>
    </row>
    <row r="886" spans="1:28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  <c r="JJ886" s="2"/>
      <c r="JK886" s="2"/>
      <c r="JL886" s="2"/>
      <c r="JM886" s="2"/>
      <c r="JN886" s="2"/>
      <c r="JO886" s="2"/>
      <c r="JP886" s="2"/>
      <c r="JQ886" s="2"/>
      <c r="JR886" s="2"/>
      <c r="JS886" s="2"/>
      <c r="JT886" s="2"/>
      <c r="JU886" s="2"/>
      <c r="JV886" s="2"/>
      <c r="JW886" s="2"/>
      <c r="JX886" s="2"/>
    </row>
    <row r="887" spans="1:28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  <c r="JJ887" s="2"/>
      <c r="JK887" s="2"/>
      <c r="JL887" s="2"/>
      <c r="JM887" s="2"/>
      <c r="JN887" s="2"/>
      <c r="JO887" s="2"/>
      <c r="JP887" s="2"/>
      <c r="JQ887" s="2"/>
      <c r="JR887" s="2"/>
      <c r="JS887" s="2"/>
      <c r="JT887" s="2"/>
      <c r="JU887" s="2"/>
      <c r="JV887" s="2"/>
      <c r="JW887" s="2"/>
      <c r="JX887" s="2"/>
    </row>
    <row r="888" spans="1:28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  <c r="JJ888" s="2"/>
      <c r="JK888" s="2"/>
      <c r="JL888" s="2"/>
      <c r="JM888" s="2"/>
      <c r="JN888" s="2"/>
      <c r="JO888" s="2"/>
      <c r="JP888" s="2"/>
      <c r="JQ888" s="2"/>
      <c r="JR888" s="2"/>
      <c r="JS888" s="2"/>
      <c r="JT888" s="2"/>
      <c r="JU888" s="2"/>
      <c r="JV888" s="2"/>
      <c r="JW888" s="2"/>
      <c r="JX888" s="2"/>
    </row>
    <row r="889" spans="1:28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  <c r="JJ889" s="2"/>
      <c r="JK889" s="2"/>
      <c r="JL889" s="2"/>
      <c r="JM889" s="2"/>
      <c r="JN889" s="2"/>
      <c r="JO889" s="2"/>
      <c r="JP889" s="2"/>
      <c r="JQ889" s="2"/>
      <c r="JR889" s="2"/>
      <c r="JS889" s="2"/>
      <c r="JT889" s="2"/>
      <c r="JU889" s="2"/>
      <c r="JV889" s="2"/>
      <c r="JW889" s="2"/>
      <c r="JX889" s="2"/>
    </row>
    <row r="890" spans="1:28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  <c r="JJ890" s="2"/>
      <c r="JK890" s="2"/>
      <c r="JL890" s="2"/>
      <c r="JM890" s="2"/>
      <c r="JN890" s="2"/>
      <c r="JO890" s="2"/>
      <c r="JP890" s="2"/>
      <c r="JQ890" s="2"/>
      <c r="JR890" s="2"/>
      <c r="JS890" s="2"/>
      <c r="JT890" s="2"/>
      <c r="JU890" s="2"/>
      <c r="JV890" s="2"/>
      <c r="JW890" s="2"/>
      <c r="JX890" s="2"/>
    </row>
    <row r="891" spans="1:28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  <c r="JJ891" s="2"/>
      <c r="JK891" s="2"/>
      <c r="JL891" s="2"/>
      <c r="JM891" s="2"/>
      <c r="JN891" s="2"/>
      <c r="JO891" s="2"/>
      <c r="JP891" s="2"/>
      <c r="JQ891" s="2"/>
      <c r="JR891" s="2"/>
      <c r="JS891" s="2"/>
      <c r="JT891" s="2"/>
      <c r="JU891" s="2"/>
      <c r="JV891" s="2"/>
      <c r="JW891" s="2"/>
      <c r="JX891" s="2"/>
    </row>
    <row r="892" spans="1:28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  <c r="JJ892" s="2"/>
      <c r="JK892" s="2"/>
      <c r="JL892" s="2"/>
      <c r="JM892" s="2"/>
      <c r="JN892" s="2"/>
      <c r="JO892" s="2"/>
      <c r="JP892" s="2"/>
      <c r="JQ892" s="2"/>
      <c r="JR892" s="2"/>
      <c r="JS892" s="2"/>
      <c r="JT892" s="2"/>
      <c r="JU892" s="2"/>
      <c r="JV892" s="2"/>
      <c r="JW892" s="2"/>
      <c r="JX892" s="2"/>
    </row>
    <row r="893" spans="1:28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  <c r="JJ893" s="2"/>
      <c r="JK893" s="2"/>
      <c r="JL893" s="2"/>
      <c r="JM893" s="2"/>
      <c r="JN893" s="2"/>
      <c r="JO893" s="2"/>
      <c r="JP893" s="2"/>
      <c r="JQ893" s="2"/>
      <c r="JR893" s="2"/>
      <c r="JS893" s="2"/>
      <c r="JT893" s="2"/>
      <c r="JU893" s="2"/>
      <c r="JV893" s="2"/>
      <c r="JW893" s="2"/>
      <c r="JX893" s="2"/>
    </row>
    <row r="894" spans="1:28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  <c r="JJ894" s="2"/>
      <c r="JK894" s="2"/>
      <c r="JL894" s="2"/>
      <c r="JM894" s="2"/>
      <c r="JN894" s="2"/>
      <c r="JO894" s="2"/>
      <c r="JP894" s="2"/>
      <c r="JQ894" s="2"/>
      <c r="JR894" s="2"/>
      <c r="JS894" s="2"/>
      <c r="JT894" s="2"/>
      <c r="JU894" s="2"/>
      <c r="JV894" s="2"/>
      <c r="JW894" s="2"/>
      <c r="JX894" s="2"/>
    </row>
    <row r="895" spans="1:28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  <c r="JJ895" s="2"/>
      <c r="JK895" s="2"/>
      <c r="JL895" s="2"/>
      <c r="JM895" s="2"/>
      <c r="JN895" s="2"/>
      <c r="JO895" s="2"/>
      <c r="JP895" s="2"/>
      <c r="JQ895" s="2"/>
      <c r="JR895" s="2"/>
      <c r="JS895" s="2"/>
      <c r="JT895" s="2"/>
      <c r="JU895" s="2"/>
      <c r="JV895" s="2"/>
      <c r="JW895" s="2"/>
      <c r="JX895" s="2"/>
    </row>
    <row r="896" spans="1:28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  <c r="JJ896" s="2"/>
      <c r="JK896" s="2"/>
      <c r="JL896" s="2"/>
      <c r="JM896" s="2"/>
      <c r="JN896" s="2"/>
      <c r="JO896" s="2"/>
      <c r="JP896" s="2"/>
      <c r="JQ896" s="2"/>
      <c r="JR896" s="2"/>
      <c r="JS896" s="2"/>
      <c r="JT896" s="2"/>
      <c r="JU896" s="2"/>
      <c r="JV896" s="2"/>
      <c r="JW896" s="2"/>
      <c r="JX896" s="2"/>
    </row>
    <row r="897" spans="1:28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  <c r="JJ897" s="2"/>
      <c r="JK897" s="2"/>
      <c r="JL897" s="2"/>
      <c r="JM897" s="2"/>
      <c r="JN897" s="2"/>
      <c r="JO897" s="2"/>
      <c r="JP897" s="2"/>
      <c r="JQ897" s="2"/>
      <c r="JR897" s="2"/>
      <c r="JS897" s="2"/>
      <c r="JT897" s="2"/>
      <c r="JU897" s="2"/>
      <c r="JV897" s="2"/>
      <c r="JW897" s="2"/>
      <c r="JX897" s="2"/>
    </row>
    <row r="898" spans="1:28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  <c r="JJ898" s="2"/>
      <c r="JK898" s="2"/>
      <c r="JL898" s="2"/>
      <c r="JM898" s="2"/>
      <c r="JN898" s="2"/>
      <c r="JO898" s="2"/>
      <c r="JP898" s="2"/>
      <c r="JQ898" s="2"/>
      <c r="JR898" s="2"/>
      <c r="JS898" s="2"/>
      <c r="JT898" s="2"/>
      <c r="JU898" s="2"/>
      <c r="JV898" s="2"/>
      <c r="JW898" s="2"/>
      <c r="JX898" s="2"/>
    </row>
    <row r="899" spans="1:28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  <c r="JJ899" s="2"/>
      <c r="JK899" s="2"/>
      <c r="JL899" s="2"/>
      <c r="JM899" s="2"/>
      <c r="JN899" s="2"/>
      <c r="JO899" s="2"/>
      <c r="JP899" s="2"/>
      <c r="JQ899" s="2"/>
      <c r="JR899" s="2"/>
      <c r="JS899" s="2"/>
      <c r="JT899" s="2"/>
      <c r="JU899" s="2"/>
      <c r="JV899" s="2"/>
      <c r="JW899" s="2"/>
      <c r="JX899" s="2"/>
    </row>
    <row r="900" spans="1:28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  <c r="JJ900" s="2"/>
      <c r="JK900" s="2"/>
      <c r="JL900" s="2"/>
      <c r="JM900" s="2"/>
      <c r="JN900" s="2"/>
      <c r="JO900" s="2"/>
      <c r="JP900" s="2"/>
      <c r="JQ900" s="2"/>
      <c r="JR900" s="2"/>
      <c r="JS900" s="2"/>
      <c r="JT900" s="2"/>
      <c r="JU900" s="2"/>
      <c r="JV900" s="2"/>
      <c r="JW900" s="2"/>
      <c r="JX900" s="2"/>
    </row>
    <row r="901" spans="1:28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  <c r="JJ901" s="2"/>
      <c r="JK901" s="2"/>
      <c r="JL901" s="2"/>
      <c r="JM901" s="2"/>
      <c r="JN901" s="2"/>
      <c r="JO901" s="2"/>
      <c r="JP901" s="2"/>
      <c r="JQ901" s="2"/>
      <c r="JR901" s="2"/>
      <c r="JS901" s="2"/>
      <c r="JT901" s="2"/>
      <c r="JU901" s="2"/>
      <c r="JV901" s="2"/>
      <c r="JW901" s="2"/>
      <c r="JX901" s="2"/>
    </row>
    <row r="902" spans="1:28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  <c r="JJ902" s="2"/>
      <c r="JK902" s="2"/>
      <c r="JL902" s="2"/>
      <c r="JM902" s="2"/>
      <c r="JN902" s="2"/>
      <c r="JO902" s="2"/>
      <c r="JP902" s="2"/>
      <c r="JQ902" s="2"/>
      <c r="JR902" s="2"/>
      <c r="JS902" s="2"/>
      <c r="JT902" s="2"/>
      <c r="JU902" s="2"/>
      <c r="JV902" s="2"/>
      <c r="JW902" s="2"/>
      <c r="JX902" s="2"/>
    </row>
    <row r="903" spans="1:28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  <c r="JJ903" s="2"/>
      <c r="JK903" s="2"/>
      <c r="JL903" s="2"/>
      <c r="JM903" s="2"/>
      <c r="JN903" s="2"/>
      <c r="JO903" s="2"/>
      <c r="JP903" s="2"/>
      <c r="JQ903" s="2"/>
      <c r="JR903" s="2"/>
      <c r="JS903" s="2"/>
      <c r="JT903" s="2"/>
      <c r="JU903" s="2"/>
      <c r="JV903" s="2"/>
      <c r="JW903" s="2"/>
      <c r="JX903" s="2"/>
    </row>
    <row r="904" spans="1:28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  <c r="JJ904" s="2"/>
      <c r="JK904" s="2"/>
      <c r="JL904" s="2"/>
      <c r="JM904" s="2"/>
      <c r="JN904" s="2"/>
      <c r="JO904" s="2"/>
      <c r="JP904" s="2"/>
      <c r="JQ904" s="2"/>
      <c r="JR904" s="2"/>
      <c r="JS904" s="2"/>
      <c r="JT904" s="2"/>
      <c r="JU904" s="2"/>
      <c r="JV904" s="2"/>
      <c r="JW904" s="2"/>
      <c r="JX904" s="2"/>
    </row>
    <row r="905" spans="1:28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  <c r="JJ905" s="2"/>
      <c r="JK905" s="2"/>
      <c r="JL905" s="2"/>
      <c r="JM905" s="2"/>
      <c r="JN905" s="2"/>
      <c r="JO905" s="2"/>
      <c r="JP905" s="2"/>
      <c r="JQ905" s="2"/>
      <c r="JR905" s="2"/>
      <c r="JS905" s="2"/>
      <c r="JT905" s="2"/>
      <c r="JU905" s="2"/>
      <c r="JV905" s="2"/>
      <c r="JW905" s="2"/>
      <c r="JX905" s="2"/>
    </row>
    <row r="906" spans="1:28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  <c r="JJ906" s="2"/>
      <c r="JK906" s="2"/>
      <c r="JL906" s="2"/>
      <c r="JM906" s="2"/>
      <c r="JN906" s="2"/>
      <c r="JO906" s="2"/>
      <c r="JP906" s="2"/>
      <c r="JQ906" s="2"/>
      <c r="JR906" s="2"/>
      <c r="JS906" s="2"/>
      <c r="JT906" s="2"/>
      <c r="JU906" s="2"/>
      <c r="JV906" s="2"/>
      <c r="JW906" s="2"/>
      <c r="JX906" s="2"/>
    </row>
    <row r="907" spans="1:28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  <c r="JJ907" s="2"/>
      <c r="JK907" s="2"/>
      <c r="JL907" s="2"/>
      <c r="JM907" s="2"/>
      <c r="JN907" s="2"/>
      <c r="JO907" s="2"/>
      <c r="JP907" s="2"/>
      <c r="JQ907" s="2"/>
      <c r="JR907" s="2"/>
      <c r="JS907" s="2"/>
      <c r="JT907" s="2"/>
      <c r="JU907" s="2"/>
      <c r="JV907" s="2"/>
      <c r="JW907" s="2"/>
      <c r="JX907" s="2"/>
    </row>
    <row r="908" spans="1:28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  <c r="JJ908" s="2"/>
      <c r="JK908" s="2"/>
      <c r="JL908" s="2"/>
      <c r="JM908" s="2"/>
      <c r="JN908" s="2"/>
      <c r="JO908" s="2"/>
      <c r="JP908" s="2"/>
      <c r="JQ908" s="2"/>
      <c r="JR908" s="2"/>
      <c r="JS908" s="2"/>
      <c r="JT908" s="2"/>
      <c r="JU908" s="2"/>
      <c r="JV908" s="2"/>
      <c r="JW908" s="2"/>
      <c r="JX908" s="2"/>
    </row>
    <row r="909" spans="1:28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  <c r="JJ909" s="2"/>
      <c r="JK909" s="2"/>
      <c r="JL909" s="2"/>
      <c r="JM909" s="2"/>
      <c r="JN909" s="2"/>
      <c r="JO909" s="2"/>
      <c r="JP909" s="2"/>
      <c r="JQ909" s="2"/>
      <c r="JR909" s="2"/>
      <c r="JS909" s="2"/>
      <c r="JT909" s="2"/>
      <c r="JU909" s="2"/>
      <c r="JV909" s="2"/>
      <c r="JW909" s="2"/>
      <c r="JX909" s="2"/>
    </row>
    <row r="910" spans="1:28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  <c r="JJ910" s="2"/>
      <c r="JK910" s="2"/>
      <c r="JL910" s="2"/>
      <c r="JM910" s="2"/>
      <c r="JN910" s="2"/>
      <c r="JO910" s="2"/>
      <c r="JP910" s="2"/>
      <c r="JQ910" s="2"/>
      <c r="JR910" s="2"/>
      <c r="JS910" s="2"/>
      <c r="JT910" s="2"/>
      <c r="JU910" s="2"/>
      <c r="JV910" s="2"/>
      <c r="JW910" s="2"/>
      <c r="JX910" s="2"/>
    </row>
    <row r="911" spans="1:28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  <c r="JJ911" s="2"/>
      <c r="JK911" s="2"/>
      <c r="JL911" s="2"/>
      <c r="JM911" s="2"/>
      <c r="JN911" s="2"/>
      <c r="JO911" s="2"/>
      <c r="JP911" s="2"/>
      <c r="JQ911" s="2"/>
      <c r="JR911" s="2"/>
      <c r="JS911" s="2"/>
      <c r="JT911" s="2"/>
      <c r="JU911" s="2"/>
      <c r="JV911" s="2"/>
      <c r="JW911" s="2"/>
      <c r="JX911" s="2"/>
    </row>
    <row r="912" spans="1:28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  <c r="JJ912" s="2"/>
      <c r="JK912" s="2"/>
      <c r="JL912" s="2"/>
      <c r="JM912" s="2"/>
      <c r="JN912" s="2"/>
      <c r="JO912" s="2"/>
      <c r="JP912" s="2"/>
      <c r="JQ912" s="2"/>
      <c r="JR912" s="2"/>
      <c r="JS912" s="2"/>
      <c r="JT912" s="2"/>
      <c r="JU912" s="2"/>
      <c r="JV912" s="2"/>
      <c r="JW912" s="2"/>
      <c r="JX912" s="2"/>
    </row>
    <row r="913" spans="1:28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  <c r="JJ913" s="2"/>
      <c r="JK913" s="2"/>
      <c r="JL913" s="2"/>
      <c r="JM913" s="2"/>
      <c r="JN913" s="2"/>
      <c r="JO913" s="2"/>
      <c r="JP913" s="2"/>
      <c r="JQ913" s="2"/>
      <c r="JR913" s="2"/>
      <c r="JS913" s="2"/>
      <c r="JT913" s="2"/>
      <c r="JU913" s="2"/>
      <c r="JV913" s="2"/>
      <c r="JW913" s="2"/>
      <c r="JX913" s="2"/>
    </row>
    <row r="914" spans="1:28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  <c r="JJ914" s="2"/>
      <c r="JK914" s="2"/>
      <c r="JL914" s="2"/>
      <c r="JM914" s="2"/>
      <c r="JN914" s="2"/>
      <c r="JO914" s="2"/>
      <c r="JP914" s="2"/>
      <c r="JQ914" s="2"/>
      <c r="JR914" s="2"/>
      <c r="JS914" s="2"/>
      <c r="JT914" s="2"/>
      <c r="JU914" s="2"/>
      <c r="JV914" s="2"/>
      <c r="JW914" s="2"/>
      <c r="JX914" s="2"/>
    </row>
    <row r="915" spans="1:28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  <c r="JJ915" s="2"/>
      <c r="JK915" s="2"/>
      <c r="JL915" s="2"/>
      <c r="JM915" s="2"/>
      <c r="JN915" s="2"/>
      <c r="JO915" s="2"/>
      <c r="JP915" s="2"/>
      <c r="JQ915" s="2"/>
      <c r="JR915" s="2"/>
      <c r="JS915" s="2"/>
      <c r="JT915" s="2"/>
      <c r="JU915" s="2"/>
      <c r="JV915" s="2"/>
      <c r="JW915" s="2"/>
      <c r="JX915" s="2"/>
    </row>
    <row r="916" spans="1:28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  <c r="JJ916" s="2"/>
      <c r="JK916" s="2"/>
      <c r="JL916" s="2"/>
      <c r="JM916" s="2"/>
      <c r="JN916" s="2"/>
      <c r="JO916" s="2"/>
      <c r="JP916" s="2"/>
      <c r="JQ916" s="2"/>
      <c r="JR916" s="2"/>
      <c r="JS916" s="2"/>
      <c r="JT916" s="2"/>
      <c r="JU916" s="2"/>
      <c r="JV916" s="2"/>
      <c r="JW916" s="2"/>
      <c r="JX916" s="2"/>
    </row>
    <row r="917" spans="1:28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  <c r="JJ917" s="2"/>
      <c r="JK917" s="2"/>
      <c r="JL917" s="2"/>
      <c r="JM917" s="2"/>
      <c r="JN917" s="2"/>
      <c r="JO917" s="2"/>
      <c r="JP917" s="2"/>
      <c r="JQ917" s="2"/>
      <c r="JR917" s="2"/>
      <c r="JS917" s="2"/>
      <c r="JT917" s="2"/>
      <c r="JU917" s="2"/>
      <c r="JV917" s="2"/>
      <c r="JW917" s="2"/>
      <c r="JX917" s="2"/>
    </row>
    <row r="918" spans="1:28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  <c r="JJ918" s="2"/>
      <c r="JK918" s="2"/>
      <c r="JL918" s="2"/>
      <c r="JM918" s="2"/>
      <c r="JN918" s="2"/>
      <c r="JO918" s="2"/>
      <c r="JP918" s="2"/>
      <c r="JQ918" s="2"/>
      <c r="JR918" s="2"/>
      <c r="JS918" s="2"/>
      <c r="JT918" s="2"/>
      <c r="JU918" s="2"/>
      <c r="JV918" s="2"/>
      <c r="JW918" s="2"/>
      <c r="JX918" s="2"/>
    </row>
    <row r="919" spans="1:28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  <c r="JJ919" s="2"/>
      <c r="JK919" s="2"/>
      <c r="JL919" s="2"/>
      <c r="JM919" s="2"/>
      <c r="JN919" s="2"/>
      <c r="JO919" s="2"/>
      <c r="JP919" s="2"/>
      <c r="JQ919" s="2"/>
      <c r="JR919" s="2"/>
      <c r="JS919" s="2"/>
      <c r="JT919" s="2"/>
      <c r="JU919" s="2"/>
      <c r="JV919" s="2"/>
      <c r="JW919" s="2"/>
      <c r="JX919" s="2"/>
    </row>
    <row r="920" spans="1:28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  <c r="JJ920" s="2"/>
      <c r="JK920" s="2"/>
      <c r="JL920" s="2"/>
      <c r="JM920" s="2"/>
      <c r="JN920" s="2"/>
      <c r="JO920" s="2"/>
      <c r="JP920" s="2"/>
      <c r="JQ920" s="2"/>
      <c r="JR920" s="2"/>
      <c r="JS920" s="2"/>
      <c r="JT920" s="2"/>
      <c r="JU920" s="2"/>
      <c r="JV920" s="2"/>
      <c r="JW920" s="2"/>
      <c r="JX920" s="2"/>
    </row>
    <row r="921" spans="1:28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  <c r="JJ921" s="2"/>
      <c r="JK921" s="2"/>
      <c r="JL921" s="2"/>
      <c r="JM921" s="2"/>
      <c r="JN921" s="2"/>
      <c r="JO921" s="2"/>
      <c r="JP921" s="2"/>
      <c r="JQ921" s="2"/>
      <c r="JR921" s="2"/>
      <c r="JS921" s="2"/>
      <c r="JT921" s="2"/>
      <c r="JU921" s="2"/>
      <c r="JV921" s="2"/>
      <c r="JW921" s="2"/>
      <c r="JX921" s="2"/>
    </row>
    <row r="922" spans="1:28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  <c r="JJ922" s="2"/>
      <c r="JK922" s="2"/>
      <c r="JL922" s="2"/>
      <c r="JM922" s="2"/>
      <c r="JN922" s="2"/>
      <c r="JO922" s="2"/>
      <c r="JP922" s="2"/>
      <c r="JQ922" s="2"/>
      <c r="JR922" s="2"/>
      <c r="JS922" s="2"/>
      <c r="JT922" s="2"/>
      <c r="JU922" s="2"/>
      <c r="JV922" s="2"/>
      <c r="JW922" s="2"/>
      <c r="JX922" s="2"/>
    </row>
    <row r="923" spans="1:28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  <c r="JJ923" s="2"/>
      <c r="JK923" s="2"/>
      <c r="JL923" s="2"/>
      <c r="JM923" s="2"/>
      <c r="JN923" s="2"/>
      <c r="JO923" s="2"/>
      <c r="JP923" s="2"/>
      <c r="JQ923" s="2"/>
      <c r="JR923" s="2"/>
      <c r="JS923" s="2"/>
      <c r="JT923" s="2"/>
      <c r="JU923" s="2"/>
      <c r="JV923" s="2"/>
      <c r="JW923" s="2"/>
      <c r="JX923" s="2"/>
    </row>
    <row r="924" spans="1:28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  <c r="JJ924" s="2"/>
      <c r="JK924" s="2"/>
      <c r="JL924" s="2"/>
      <c r="JM924" s="2"/>
      <c r="JN924" s="2"/>
      <c r="JO924" s="2"/>
      <c r="JP924" s="2"/>
      <c r="JQ924" s="2"/>
      <c r="JR924" s="2"/>
      <c r="JS924" s="2"/>
      <c r="JT924" s="2"/>
      <c r="JU924" s="2"/>
      <c r="JV924" s="2"/>
      <c r="JW924" s="2"/>
      <c r="JX924" s="2"/>
    </row>
    <row r="925" spans="1:28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  <c r="JJ925" s="2"/>
      <c r="JK925" s="2"/>
      <c r="JL925" s="2"/>
      <c r="JM925" s="2"/>
      <c r="JN925" s="2"/>
      <c r="JO925" s="2"/>
      <c r="JP925" s="2"/>
      <c r="JQ925" s="2"/>
      <c r="JR925" s="2"/>
      <c r="JS925" s="2"/>
      <c r="JT925" s="2"/>
      <c r="JU925" s="2"/>
      <c r="JV925" s="2"/>
      <c r="JW925" s="2"/>
      <c r="JX925" s="2"/>
    </row>
    <row r="926" spans="1:28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  <c r="JJ926" s="2"/>
      <c r="JK926" s="2"/>
      <c r="JL926" s="2"/>
      <c r="JM926" s="2"/>
      <c r="JN926" s="2"/>
      <c r="JO926" s="2"/>
      <c r="JP926" s="2"/>
      <c r="JQ926" s="2"/>
      <c r="JR926" s="2"/>
      <c r="JS926" s="2"/>
      <c r="JT926" s="2"/>
      <c r="JU926" s="2"/>
      <c r="JV926" s="2"/>
      <c r="JW926" s="2"/>
      <c r="JX926" s="2"/>
    </row>
    <row r="927" spans="1:28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  <c r="JJ927" s="2"/>
      <c r="JK927" s="2"/>
      <c r="JL927" s="2"/>
      <c r="JM927" s="2"/>
      <c r="JN927" s="2"/>
      <c r="JO927" s="2"/>
      <c r="JP927" s="2"/>
      <c r="JQ927" s="2"/>
      <c r="JR927" s="2"/>
      <c r="JS927" s="2"/>
      <c r="JT927" s="2"/>
      <c r="JU927" s="2"/>
      <c r="JV927" s="2"/>
      <c r="JW927" s="2"/>
      <c r="JX927" s="2"/>
    </row>
    <row r="928" spans="1:28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  <c r="JJ928" s="2"/>
      <c r="JK928" s="2"/>
      <c r="JL928" s="2"/>
      <c r="JM928" s="2"/>
      <c r="JN928" s="2"/>
      <c r="JO928" s="2"/>
      <c r="JP928" s="2"/>
      <c r="JQ928" s="2"/>
      <c r="JR928" s="2"/>
      <c r="JS928" s="2"/>
      <c r="JT928" s="2"/>
      <c r="JU928" s="2"/>
      <c r="JV928" s="2"/>
      <c r="JW928" s="2"/>
      <c r="JX928" s="2"/>
    </row>
    <row r="929" spans="1:28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  <c r="JJ929" s="2"/>
      <c r="JK929" s="2"/>
      <c r="JL929" s="2"/>
      <c r="JM929" s="2"/>
      <c r="JN929" s="2"/>
      <c r="JO929" s="2"/>
      <c r="JP929" s="2"/>
      <c r="JQ929" s="2"/>
      <c r="JR929" s="2"/>
      <c r="JS929" s="2"/>
      <c r="JT929" s="2"/>
      <c r="JU929" s="2"/>
      <c r="JV929" s="2"/>
      <c r="JW929" s="2"/>
      <c r="JX929" s="2"/>
    </row>
    <row r="930" spans="1:28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  <c r="JJ930" s="2"/>
      <c r="JK930" s="2"/>
      <c r="JL930" s="2"/>
      <c r="JM930" s="2"/>
      <c r="JN930" s="2"/>
      <c r="JO930" s="2"/>
      <c r="JP930" s="2"/>
      <c r="JQ930" s="2"/>
      <c r="JR930" s="2"/>
      <c r="JS930" s="2"/>
      <c r="JT930" s="2"/>
      <c r="JU930" s="2"/>
      <c r="JV930" s="2"/>
      <c r="JW930" s="2"/>
      <c r="JX930" s="2"/>
    </row>
    <row r="931" spans="1:28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  <c r="JJ931" s="2"/>
      <c r="JK931" s="2"/>
      <c r="JL931" s="2"/>
      <c r="JM931" s="2"/>
      <c r="JN931" s="2"/>
      <c r="JO931" s="2"/>
      <c r="JP931" s="2"/>
      <c r="JQ931" s="2"/>
      <c r="JR931" s="2"/>
      <c r="JS931" s="2"/>
      <c r="JT931" s="2"/>
      <c r="JU931" s="2"/>
      <c r="JV931" s="2"/>
      <c r="JW931" s="2"/>
      <c r="JX931" s="2"/>
    </row>
    <row r="932" spans="1:28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  <c r="JJ932" s="2"/>
      <c r="JK932" s="2"/>
      <c r="JL932" s="2"/>
      <c r="JM932" s="2"/>
      <c r="JN932" s="2"/>
      <c r="JO932" s="2"/>
      <c r="JP932" s="2"/>
      <c r="JQ932" s="2"/>
      <c r="JR932" s="2"/>
      <c r="JS932" s="2"/>
      <c r="JT932" s="2"/>
      <c r="JU932" s="2"/>
      <c r="JV932" s="2"/>
      <c r="JW932" s="2"/>
      <c r="JX932" s="2"/>
    </row>
    <row r="933" spans="1:28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  <c r="JJ933" s="2"/>
      <c r="JK933" s="2"/>
      <c r="JL933" s="2"/>
      <c r="JM933" s="2"/>
      <c r="JN933" s="2"/>
      <c r="JO933" s="2"/>
      <c r="JP933" s="2"/>
      <c r="JQ933" s="2"/>
      <c r="JR933" s="2"/>
      <c r="JS933" s="2"/>
      <c r="JT933" s="2"/>
      <c r="JU933" s="2"/>
      <c r="JV933" s="2"/>
      <c r="JW933" s="2"/>
      <c r="JX933" s="2"/>
    </row>
    <row r="934" spans="1:28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  <c r="JJ934" s="2"/>
      <c r="JK934" s="2"/>
      <c r="JL934" s="2"/>
      <c r="JM934" s="2"/>
      <c r="JN934" s="2"/>
      <c r="JO934" s="2"/>
      <c r="JP934" s="2"/>
      <c r="JQ934" s="2"/>
      <c r="JR934" s="2"/>
      <c r="JS934" s="2"/>
      <c r="JT934" s="2"/>
      <c r="JU934" s="2"/>
      <c r="JV934" s="2"/>
      <c r="JW934" s="2"/>
      <c r="JX934" s="2"/>
    </row>
    <row r="935" spans="1:28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  <c r="JJ935" s="2"/>
      <c r="JK935" s="2"/>
      <c r="JL935" s="2"/>
      <c r="JM935" s="2"/>
      <c r="JN935" s="2"/>
      <c r="JO935" s="2"/>
      <c r="JP935" s="2"/>
      <c r="JQ935" s="2"/>
      <c r="JR935" s="2"/>
      <c r="JS935" s="2"/>
      <c r="JT935" s="2"/>
      <c r="JU935" s="2"/>
      <c r="JV935" s="2"/>
      <c r="JW935" s="2"/>
      <c r="JX935" s="2"/>
    </row>
    <row r="936" spans="1:28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  <c r="JJ936" s="2"/>
      <c r="JK936" s="2"/>
      <c r="JL936" s="2"/>
      <c r="JM936" s="2"/>
      <c r="JN936" s="2"/>
      <c r="JO936" s="2"/>
      <c r="JP936" s="2"/>
      <c r="JQ936" s="2"/>
      <c r="JR936" s="2"/>
      <c r="JS936" s="2"/>
      <c r="JT936" s="2"/>
      <c r="JU936" s="2"/>
      <c r="JV936" s="2"/>
      <c r="JW936" s="2"/>
      <c r="JX936" s="2"/>
    </row>
    <row r="937" spans="1:28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  <c r="JJ937" s="2"/>
      <c r="JK937" s="2"/>
      <c r="JL937" s="2"/>
      <c r="JM937" s="2"/>
      <c r="JN937" s="2"/>
      <c r="JO937" s="2"/>
      <c r="JP937" s="2"/>
      <c r="JQ937" s="2"/>
      <c r="JR937" s="2"/>
      <c r="JS937" s="2"/>
      <c r="JT937" s="2"/>
      <c r="JU937" s="2"/>
      <c r="JV937" s="2"/>
      <c r="JW937" s="2"/>
      <c r="JX937" s="2"/>
    </row>
    <row r="938" spans="1:28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  <c r="JJ938" s="2"/>
      <c r="JK938" s="2"/>
      <c r="JL938" s="2"/>
      <c r="JM938" s="2"/>
      <c r="JN938" s="2"/>
      <c r="JO938" s="2"/>
      <c r="JP938" s="2"/>
      <c r="JQ938" s="2"/>
      <c r="JR938" s="2"/>
      <c r="JS938" s="2"/>
      <c r="JT938" s="2"/>
      <c r="JU938" s="2"/>
      <c r="JV938" s="2"/>
      <c r="JW938" s="2"/>
      <c r="JX938" s="2"/>
    </row>
    <row r="939" spans="1:28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  <c r="JJ939" s="2"/>
      <c r="JK939" s="2"/>
      <c r="JL939" s="2"/>
      <c r="JM939" s="2"/>
      <c r="JN939" s="2"/>
      <c r="JO939" s="2"/>
      <c r="JP939" s="2"/>
      <c r="JQ939" s="2"/>
      <c r="JR939" s="2"/>
      <c r="JS939" s="2"/>
      <c r="JT939" s="2"/>
      <c r="JU939" s="2"/>
      <c r="JV939" s="2"/>
      <c r="JW939" s="2"/>
      <c r="JX939" s="2"/>
    </row>
    <row r="940" spans="1:28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  <c r="JJ940" s="2"/>
      <c r="JK940" s="2"/>
      <c r="JL940" s="2"/>
      <c r="JM940" s="2"/>
      <c r="JN940" s="2"/>
      <c r="JO940" s="2"/>
      <c r="JP940" s="2"/>
      <c r="JQ940" s="2"/>
      <c r="JR940" s="2"/>
      <c r="JS940" s="2"/>
      <c r="JT940" s="2"/>
      <c r="JU940" s="2"/>
      <c r="JV940" s="2"/>
      <c r="JW940" s="2"/>
      <c r="JX940" s="2"/>
    </row>
    <row r="941" spans="1:28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  <c r="JJ941" s="2"/>
      <c r="JK941" s="2"/>
      <c r="JL941" s="2"/>
      <c r="JM941" s="2"/>
      <c r="JN941" s="2"/>
      <c r="JO941" s="2"/>
      <c r="JP941" s="2"/>
      <c r="JQ941" s="2"/>
      <c r="JR941" s="2"/>
      <c r="JS941" s="2"/>
      <c r="JT941" s="2"/>
      <c r="JU941" s="2"/>
      <c r="JV941" s="2"/>
      <c r="JW941" s="2"/>
      <c r="JX941" s="2"/>
    </row>
    <row r="942" spans="1:28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  <c r="JJ942" s="2"/>
      <c r="JK942" s="2"/>
      <c r="JL942" s="2"/>
      <c r="JM942" s="2"/>
      <c r="JN942" s="2"/>
      <c r="JO942" s="2"/>
      <c r="JP942" s="2"/>
      <c r="JQ942" s="2"/>
      <c r="JR942" s="2"/>
      <c r="JS942" s="2"/>
      <c r="JT942" s="2"/>
      <c r="JU942" s="2"/>
      <c r="JV942" s="2"/>
      <c r="JW942" s="2"/>
      <c r="JX942" s="2"/>
    </row>
    <row r="943" spans="1:28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  <c r="JJ943" s="2"/>
      <c r="JK943" s="2"/>
      <c r="JL943" s="2"/>
      <c r="JM943" s="2"/>
      <c r="JN943" s="2"/>
      <c r="JO943" s="2"/>
      <c r="JP943" s="2"/>
      <c r="JQ943" s="2"/>
      <c r="JR943" s="2"/>
      <c r="JS943" s="2"/>
      <c r="JT943" s="2"/>
      <c r="JU943" s="2"/>
      <c r="JV943" s="2"/>
      <c r="JW943" s="2"/>
      <c r="JX943" s="2"/>
    </row>
    <row r="944" spans="1:28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  <c r="JJ944" s="2"/>
      <c r="JK944" s="2"/>
      <c r="JL944" s="2"/>
      <c r="JM944" s="2"/>
      <c r="JN944" s="2"/>
      <c r="JO944" s="2"/>
      <c r="JP944" s="2"/>
      <c r="JQ944" s="2"/>
      <c r="JR944" s="2"/>
      <c r="JS944" s="2"/>
      <c r="JT944" s="2"/>
      <c r="JU944" s="2"/>
      <c r="JV944" s="2"/>
      <c r="JW944" s="2"/>
      <c r="JX944" s="2"/>
    </row>
    <row r="945" spans="1:28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  <c r="JJ945" s="2"/>
      <c r="JK945" s="2"/>
      <c r="JL945" s="2"/>
      <c r="JM945" s="2"/>
      <c r="JN945" s="2"/>
      <c r="JO945" s="2"/>
      <c r="JP945" s="2"/>
      <c r="JQ945" s="2"/>
      <c r="JR945" s="2"/>
      <c r="JS945" s="2"/>
      <c r="JT945" s="2"/>
      <c r="JU945" s="2"/>
      <c r="JV945" s="2"/>
      <c r="JW945" s="2"/>
      <c r="JX945" s="2"/>
    </row>
    <row r="946" spans="1:28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  <c r="JJ946" s="2"/>
      <c r="JK946" s="2"/>
      <c r="JL946" s="2"/>
      <c r="JM946" s="2"/>
      <c r="JN946" s="2"/>
      <c r="JO946" s="2"/>
      <c r="JP946" s="2"/>
      <c r="JQ946" s="2"/>
      <c r="JR946" s="2"/>
      <c r="JS946" s="2"/>
      <c r="JT946" s="2"/>
      <c r="JU946" s="2"/>
      <c r="JV946" s="2"/>
      <c r="JW946" s="2"/>
      <c r="JX946" s="2"/>
    </row>
    <row r="947" spans="1:28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  <c r="JJ947" s="2"/>
      <c r="JK947" s="2"/>
      <c r="JL947" s="2"/>
      <c r="JM947" s="2"/>
      <c r="JN947" s="2"/>
      <c r="JO947" s="2"/>
      <c r="JP947" s="2"/>
      <c r="JQ947" s="2"/>
      <c r="JR947" s="2"/>
      <c r="JS947" s="2"/>
      <c r="JT947" s="2"/>
      <c r="JU947" s="2"/>
      <c r="JV947" s="2"/>
      <c r="JW947" s="2"/>
      <c r="JX947" s="2"/>
    </row>
    <row r="948" spans="1:28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  <c r="JJ948" s="2"/>
      <c r="JK948" s="2"/>
      <c r="JL948" s="2"/>
      <c r="JM948" s="2"/>
      <c r="JN948" s="2"/>
      <c r="JO948" s="2"/>
      <c r="JP948" s="2"/>
      <c r="JQ948" s="2"/>
      <c r="JR948" s="2"/>
      <c r="JS948" s="2"/>
      <c r="JT948" s="2"/>
      <c r="JU948" s="2"/>
      <c r="JV948" s="2"/>
      <c r="JW948" s="2"/>
      <c r="JX948" s="2"/>
    </row>
    <row r="949" spans="1:28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  <c r="JJ949" s="2"/>
      <c r="JK949" s="2"/>
      <c r="JL949" s="2"/>
      <c r="JM949" s="2"/>
      <c r="JN949" s="2"/>
      <c r="JO949" s="2"/>
      <c r="JP949" s="2"/>
      <c r="JQ949" s="2"/>
      <c r="JR949" s="2"/>
      <c r="JS949" s="2"/>
      <c r="JT949" s="2"/>
      <c r="JU949" s="2"/>
      <c r="JV949" s="2"/>
      <c r="JW949" s="2"/>
      <c r="JX949" s="2"/>
    </row>
    <row r="950" spans="1:28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  <c r="JJ950" s="2"/>
      <c r="JK950" s="2"/>
      <c r="JL950" s="2"/>
      <c r="JM950" s="2"/>
      <c r="JN950" s="2"/>
      <c r="JO950" s="2"/>
      <c r="JP950" s="2"/>
      <c r="JQ950" s="2"/>
      <c r="JR950" s="2"/>
      <c r="JS950" s="2"/>
      <c r="JT950" s="2"/>
      <c r="JU950" s="2"/>
      <c r="JV950" s="2"/>
      <c r="JW950" s="2"/>
      <c r="JX950" s="2"/>
    </row>
    <row r="951" spans="1:28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  <c r="JJ951" s="2"/>
      <c r="JK951" s="2"/>
      <c r="JL951" s="2"/>
      <c r="JM951" s="2"/>
      <c r="JN951" s="2"/>
      <c r="JO951" s="2"/>
      <c r="JP951" s="2"/>
      <c r="JQ951" s="2"/>
      <c r="JR951" s="2"/>
      <c r="JS951" s="2"/>
      <c r="JT951" s="2"/>
      <c r="JU951" s="2"/>
      <c r="JV951" s="2"/>
      <c r="JW951" s="2"/>
      <c r="JX951" s="2"/>
    </row>
    <row r="952" spans="1:28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  <c r="JJ952" s="2"/>
      <c r="JK952" s="2"/>
      <c r="JL952" s="2"/>
      <c r="JM952" s="2"/>
      <c r="JN952" s="2"/>
      <c r="JO952" s="2"/>
      <c r="JP952" s="2"/>
      <c r="JQ952" s="2"/>
      <c r="JR952" s="2"/>
      <c r="JS952" s="2"/>
      <c r="JT952" s="2"/>
      <c r="JU952" s="2"/>
      <c r="JV952" s="2"/>
      <c r="JW952" s="2"/>
      <c r="JX952" s="2"/>
    </row>
    <row r="953" spans="1:28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  <c r="JJ953" s="2"/>
      <c r="JK953" s="2"/>
      <c r="JL953" s="2"/>
      <c r="JM953" s="2"/>
      <c r="JN953" s="2"/>
      <c r="JO953" s="2"/>
      <c r="JP953" s="2"/>
      <c r="JQ953" s="2"/>
      <c r="JR953" s="2"/>
      <c r="JS953" s="2"/>
      <c r="JT953" s="2"/>
      <c r="JU953" s="2"/>
      <c r="JV953" s="2"/>
      <c r="JW953" s="2"/>
      <c r="JX953" s="2"/>
    </row>
    <row r="954" spans="1:28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  <c r="JJ954" s="2"/>
      <c r="JK954" s="2"/>
      <c r="JL954" s="2"/>
      <c r="JM954" s="2"/>
      <c r="JN954" s="2"/>
      <c r="JO954" s="2"/>
      <c r="JP954" s="2"/>
      <c r="JQ954" s="2"/>
      <c r="JR954" s="2"/>
      <c r="JS954" s="2"/>
      <c r="JT954" s="2"/>
      <c r="JU954" s="2"/>
      <c r="JV954" s="2"/>
      <c r="JW954" s="2"/>
      <c r="JX954" s="2"/>
    </row>
    <row r="955" spans="1:28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  <c r="JJ955" s="2"/>
      <c r="JK955" s="2"/>
      <c r="JL955" s="2"/>
      <c r="JM955" s="2"/>
      <c r="JN955" s="2"/>
      <c r="JO955" s="2"/>
      <c r="JP955" s="2"/>
      <c r="JQ955" s="2"/>
      <c r="JR955" s="2"/>
      <c r="JS955" s="2"/>
      <c r="JT955" s="2"/>
      <c r="JU955" s="2"/>
      <c r="JV955" s="2"/>
      <c r="JW955" s="2"/>
      <c r="JX955" s="2"/>
    </row>
    <row r="956" spans="1:28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  <c r="JJ956" s="2"/>
      <c r="JK956" s="2"/>
      <c r="JL956" s="2"/>
      <c r="JM956" s="2"/>
      <c r="JN956" s="2"/>
      <c r="JO956" s="2"/>
      <c r="JP956" s="2"/>
      <c r="JQ956" s="2"/>
      <c r="JR956" s="2"/>
      <c r="JS956" s="2"/>
      <c r="JT956" s="2"/>
      <c r="JU956" s="2"/>
      <c r="JV956" s="2"/>
      <c r="JW956" s="2"/>
      <c r="JX956" s="2"/>
    </row>
    <row r="957" spans="1:28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  <c r="JJ957" s="2"/>
      <c r="JK957" s="2"/>
      <c r="JL957" s="2"/>
      <c r="JM957" s="2"/>
      <c r="JN957" s="2"/>
      <c r="JO957" s="2"/>
      <c r="JP957" s="2"/>
      <c r="JQ957" s="2"/>
      <c r="JR957" s="2"/>
      <c r="JS957" s="2"/>
      <c r="JT957" s="2"/>
      <c r="JU957" s="2"/>
      <c r="JV957" s="2"/>
      <c r="JW957" s="2"/>
      <c r="JX957" s="2"/>
    </row>
    <row r="958" spans="1:28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  <c r="JJ958" s="2"/>
      <c r="JK958" s="2"/>
      <c r="JL958" s="2"/>
      <c r="JM958" s="2"/>
      <c r="JN958" s="2"/>
      <c r="JO958" s="2"/>
      <c r="JP958" s="2"/>
      <c r="JQ958" s="2"/>
      <c r="JR958" s="2"/>
      <c r="JS958" s="2"/>
      <c r="JT958" s="2"/>
      <c r="JU958" s="2"/>
      <c r="JV958" s="2"/>
      <c r="JW958" s="2"/>
      <c r="JX958" s="2"/>
    </row>
    <row r="959" spans="1:28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  <c r="JJ959" s="2"/>
      <c r="JK959" s="2"/>
      <c r="JL959" s="2"/>
      <c r="JM959" s="2"/>
      <c r="JN959" s="2"/>
      <c r="JO959" s="2"/>
      <c r="JP959" s="2"/>
      <c r="JQ959" s="2"/>
      <c r="JR959" s="2"/>
      <c r="JS959" s="2"/>
      <c r="JT959" s="2"/>
      <c r="JU959" s="2"/>
      <c r="JV959" s="2"/>
      <c r="JW959" s="2"/>
      <c r="JX959" s="2"/>
    </row>
    <row r="960" spans="1:28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  <c r="JJ960" s="2"/>
      <c r="JK960" s="2"/>
      <c r="JL960" s="2"/>
      <c r="JM960" s="2"/>
      <c r="JN960" s="2"/>
      <c r="JO960" s="2"/>
      <c r="JP960" s="2"/>
      <c r="JQ960" s="2"/>
      <c r="JR960" s="2"/>
      <c r="JS960" s="2"/>
      <c r="JT960" s="2"/>
      <c r="JU960" s="2"/>
      <c r="JV960" s="2"/>
      <c r="JW960" s="2"/>
      <c r="JX960" s="2"/>
    </row>
    <row r="961" spans="1:28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  <c r="JJ961" s="2"/>
      <c r="JK961" s="2"/>
      <c r="JL961" s="2"/>
      <c r="JM961" s="2"/>
      <c r="JN961" s="2"/>
      <c r="JO961" s="2"/>
      <c r="JP961" s="2"/>
      <c r="JQ961" s="2"/>
      <c r="JR961" s="2"/>
      <c r="JS961" s="2"/>
      <c r="JT961" s="2"/>
      <c r="JU961" s="2"/>
      <c r="JV961" s="2"/>
      <c r="JW961" s="2"/>
      <c r="JX961" s="2"/>
    </row>
    <row r="962" spans="1:28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  <c r="JJ962" s="2"/>
      <c r="JK962" s="2"/>
      <c r="JL962" s="2"/>
      <c r="JM962" s="2"/>
      <c r="JN962" s="2"/>
      <c r="JO962" s="2"/>
      <c r="JP962" s="2"/>
      <c r="JQ962" s="2"/>
      <c r="JR962" s="2"/>
      <c r="JS962" s="2"/>
      <c r="JT962" s="2"/>
      <c r="JU962" s="2"/>
      <c r="JV962" s="2"/>
      <c r="JW962" s="2"/>
      <c r="JX962" s="2"/>
    </row>
    <row r="963" spans="1:28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  <c r="JJ963" s="2"/>
      <c r="JK963" s="2"/>
      <c r="JL963" s="2"/>
      <c r="JM963" s="2"/>
      <c r="JN963" s="2"/>
      <c r="JO963" s="2"/>
      <c r="JP963" s="2"/>
      <c r="JQ963" s="2"/>
      <c r="JR963" s="2"/>
      <c r="JS963" s="2"/>
      <c r="JT963" s="2"/>
      <c r="JU963" s="2"/>
      <c r="JV963" s="2"/>
      <c r="JW963" s="2"/>
      <c r="JX963" s="2"/>
    </row>
  </sheetData>
  <mergeCells count="1">
    <mergeCell ref="B3:G3"/>
  </mergeCells>
  <phoneticPr fontId="4" type="noConversion"/>
  <pageMargins left="0.75" right="0.75" top="1" bottom="1" header="0.5" footer="0.5"/>
  <pageSetup orientation="portrait" horizontalDpi="4294967292" verticalDpi="4294967292" r:id="rId1"/>
  <headerFooter>
    <oddHeader>&amp;C&amp;"Calibri,Regular"&amp;K000000Gantt Chart_x000D_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56"/>
  <sheetViews>
    <sheetView tabSelected="1" topLeftCell="A240" workbookViewId="0">
      <selection activeCell="D257" sqref="D257"/>
    </sheetView>
  </sheetViews>
  <sheetFormatPr baseColWidth="10" defaultRowHeight="15.75"/>
  <cols>
    <col min="3" max="3" width="29.375" bestFit="1" customWidth="1"/>
    <col min="8" max="8" width="4.75" customWidth="1"/>
    <col min="9" max="9" width="46" bestFit="1" customWidth="1"/>
  </cols>
  <sheetData>
    <row r="2" spans="1:9">
      <c r="B2" t="s">
        <v>21</v>
      </c>
      <c r="C2" t="s">
        <v>152</v>
      </c>
      <c r="D2" t="s">
        <v>149</v>
      </c>
      <c r="E2" t="s">
        <v>153</v>
      </c>
    </row>
    <row r="3" spans="1:9">
      <c r="A3" s="34" t="s">
        <v>164</v>
      </c>
      <c r="B3">
        <v>1</v>
      </c>
      <c r="C3" s="9" t="s">
        <v>22</v>
      </c>
      <c r="D3" t="s">
        <v>150</v>
      </c>
      <c r="E3" t="s">
        <v>154</v>
      </c>
      <c r="G3" t="s">
        <v>157</v>
      </c>
      <c r="H3" t="s">
        <v>158</v>
      </c>
      <c r="I3" t="s">
        <v>156</v>
      </c>
    </row>
    <row r="4" spans="1:9">
      <c r="A4" s="34"/>
      <c r="B4">
        <v>2</v>
      </c>
      <c r="C4" s="9" t="s">
        <v>23</v>
      </c>
      <c r="D4" t="s">
        <v>150</v>
      </c>
      <c r="E4" t="s">
        <v>154</v>
      </c>
      <c r="G4">
        <f>COUNTIF(D3:D130,"listo")</f>
        <v>116</v>
      </c>
      <c r="H4">
        <f>COUNTIF(D3:D130,"pendiente")</f>
        <v>8</v>
      </c>
      <c r="I4">
        <f>COUNTIF(D3:D130,"Obsoleto")</f>
        <v>4</v>
      </c>
    </row>
    <row r="5" spans="1:9">
      <c r="A5" s="34"/>
      <c r="B5">
        <v>3</v>
      </c>
      <c r="C5" s="9" t="s">
        <v>24</v>
      </c>
      <c r="D5" t="s">
        <v>150</v>
      </c>
      <c r="E5" t="s">
        <v>154</v>
      </c>
    </row>
    <row r="6" spans="1:9">
      <c r="A6" s="34"/>
      <c r="B6">
        <v>4</v>
      </c>
      <c r="C6" s="9" t="s">
        <v>25</v>
      </c>
      <c r="D6" t="s">
        <v>150</v>
      </c>
      <c r="E6" t="s">
        <v>154</v>
      </c>
    </row>
    <row r="7" spans="1:9">
      <c r="A7" s="34"/>
      <c r="B7">
        <v>5</v>
      </c>
      <c r="C7" s="9" t="s">
        <v>26</v>
      </c>
      <c r="D7" t="s">
        <v>150</v>
      </c>
      <c r="E7" t="s">
        <v>154</v>
      </c>
    </row>
    <row r="8" spans="1:9">
      <c r="A8" s="34"/>
      <c r="B8">
        <v>6</v>
      </c>
      <c r="C8" s="9" t="s">
        <v>27</v>
      </c>
      <c r="D8" t="s">
        <v>150</v>
      </c>
      <c r="E8" t="s">
        <v>154</v>
      </c>
    </row>
    <row r="9" spans="1:9">
      <c r="A9" s="34"/>
      <c r="B9">
        <v>7</v>
      </c>
      <c r="C9" s="9" t="s">
        <v>28</v>
      </c>
      <c r="D9" t="s">
        <v>150</v>
      </c>
      <c r="E9" t="s">
        <v>154</v>
      </c>
    </row>
    <row r="10" spans="1:9">
      <c r="A10" s="34"/>
      <c r="B10">
        <v>8</v>
      </c>
      <c r="C10" s="9" t="s">
        <v>29</v>
      </c>
      <c r="D10" t="s">
        <v>150</v>
      </c>
      <c r="E10" t="s">
        <v>154</v>
      </c>
    </row>
    <row r="11" spans="1:9">
      <c r="A11" s="34"/>
      <c r="B11" s="20">
        <v>9</v>
      </c>
      <c r="C11" s="9" t="s">
        <v>30</v>
      </c>
      <c r="D11" s="20" t="s">
        <v>156</v>
      </c>
      <c r="E11" s="20" t="s">
        <v>154</v>
      </c>
      <c r="F11" s="20"/>
      <c r="H11" s="19"/>
      <c r="I11" t="s">
        <v>155</v>
      </c>
    </row>
    <row r="12" spans="1:9">
      <c r="A12" s="34"/>
      <c r="B12">
        <v>10</v>
      </c>
      <c r="C12" s="9" t="s">
        <v>31</v>
      </c>
      <c r="D12" t="s">
        <v>150</v>
      </c>
      <c r="E12" t="s">
        <v>154</v>
      </c>
    </row>
    <row r="13" spans="1:9">
      <c r="A13" s="34"/>
      <c r="B13">
        <v>11</v>
      </c>
      <c r="C13" s="9" t="s">
        <v>32</v>
      </c>
      <c r="D13" t="s">
        <v>150</v>
      </c>
      <c r="E13" t="s">
        <v>154</v>
      </c>
    </row>
    <row r="14" spans="1:9">
      <c r="A14" s="34"/>
      <c r="B14">
        <v>12</v>
      </c>
      <c r="C14" s="9" t="s">
        <v>33</v>
      </c>
      <c r="D14" t="s">
        <v>150</v>
      </c>
      <c r="E14" t="s">
        <v>154</v>
      </c>
    </row>
    <row r="15" spans="1:9">
      <c r="A15" s="34"/>
      <c r="B15">
        <v>13</v>
      </c>
      <c r="C15" s="9" t="s">
        <v>34</v>
      </c>
      <c r="D15" t="s">
        <v>150</v>
      </c>
      <c r="E15" t="s">
        <v>154</v>
      </c>
    </row>
    <row r="16" spans="1:9">
      <c r="A16" s="34"/>
      <c r="B16">
        <v>14</v>
      </c>
      <c r="C16" s="9" t="s">
        <v>35</v>
      </c>
      <c r="D16" t="s">
        <v>150</v>
      </c>
      <c r="E16" t="s">
        <v>154</v>
      </c>
    </row>
    <row r="17" spans="1:5">
      <c r="A17" s="34"/>
      <c r="B17">
        <v>15</v>
      </c>
      <c r="C17" s="9" t="s">
        <v>36</v>
      </c>
      <c r="D17" t="s">
        <v>150</v>
      </c>
      <c r="E17" t="s">
        <v>154</v>
      </c>
    </row>
    <row r="18" spans="1:5">
      <c r="A18" s="34"/>
      <c r="B18">
        <v>16</v>
      </c>
      <c r="C18" s="9" t="s">
        <v>37</v>
      </c>
      <c r="D18" t="s">
        <v>150</v>
      </c>
      <c r="E18" t="s">
        <v>154</v>
      </c>
    </row>
    <row r="19" spans="1:5">
      <c r="A19" s="34"/>
      <c r="B19">
        <v>17</v>
      </c>
      <c r="C19" s="9" t="s">
        <v>38</v>
      </c>
      <c r="D19" t="s">
        <v>150</v>
      </c>
      <c r="E19" t="s">
        <v>154</v>
      </c>
    </row>
    <row r="20" spans="1:5">
      <c r="A20" s="34"/>
      <c r="B20">
        <v>18</v>
      </c>
      <c r="C20" s="9" t="s">
        <v>39</v>
      </c>
      <c r="D20" t="s">
        <v>150</v>
      </c>
      <c r="E20" t="s">
        <v>154</v>
      </c>
    </row>
    <row r="21" spans="1:5">
      <c r="A21" s="34"/>
      <c r="B21">
        <v>19</v>
      </c>
      <c r="C21" s="9" t="s">
        <v>40</v>
      </c>
      <c r="D21" t="s">
        <v>150</v>
      </c>
      <c r="E21" t="s">
        <v>154</v>
      </c>
    </row>
    <row r="22" spans="1:5">
      <c r="A22" s="34"/>
      <c r="B22">
        <v>20</v>
      </c>
      <c r="C22" s="9" t="s">
        <v>41</v>
      </c>
      <c r="D22" t="s">
        <v>150</v>
      </c>
      <c r="E22" t="s">
        <v>154</v>
      </c>
    </row>
    <row r="23" spans="1:5">
      <c r="A23" s="34"/>
      <c r="B23">
        <v>21</v>
      </c>
      <c r="C23" s="9" t="s">
        <v>42</v>
      </c>
      <c r="D23" t="s">
        <v>150</v>
      </c>
      <c r="E23" t="s">
        <v>154</v>
      </c>
    </row>
    <row r="24" spans="1:5">
      <c r="A24" s="34"/>
      <c r="B24">
        <v>22</v>
      </c>
      <c r="C24" s="9" t="s">
        <v>43</v>
      </c>
      <c r="D24" t="s">
        <v>150</v>
      </c>
      <c r="E24" t="s">
        <v>154</v>
      </c>
    </row>
    <row r="25" spans="1:5">
      <c r="A25" s="34"/>
      <c r="B25">
        <v>23</v>
      </c>
      <c r="C25" s="9" t="s">
        <v>44</v>
      </c>
      <c r="D25" t="s">
        <v>150</v>
      </c>
      <c r="E25" t="s">
        <v>154</v>
      </c>
    </row>
    <row r="26" spans="1:5">
      <c r="A26" s="34"/>
      <c r="B26">
        <v>24</v>
      </c>
      <c r="C26" s="9" t="s">
        <v>45</v>
      </c>
      <c r="D26" t="s">
        <v>150</v>
      </c>
      <c r="E26" t="s">
        <v>154</v>
      </c>
    </row>
    <row r="27" spans="1:5">
      <c r="A27" s="34"/>
      <c r="B27">
        <v>25</v>
      </c>
      <c r="C27" s="9" t="s">
        <v>46</v>
      </c>
      <c r="D27" t="s">
        <v>150</v>
      </c>
      <c r="E27" t="s">
        <v>154</v>
      </c>
    </row>
    <row r="28" spans="1:5">
      <c r="A28" s="34"/>
      <c r="B28">
        <v>26</v>
      </c>
      <c r="C28" s="9" t="s">
        <v>47</v>
      </c>
      <c r="D28" t="s">
        <v>150</v>
      </c>
      <c r="E28" t="s">
        <v>154</v>
      </c>
    </row>
    <row r="29" spans="1:5">
      <c r="A29" s="34"/>
      <c r="B29">
        <v>27</v>
      </c>
      <c r="C29" s="9" t="s">
        <v>48</v>
      </c>
      <c r="D29" t="s">
        <v>150</v>
      </c>
      <c r="E29" t="s">
        <v>154</v>
      </c>
    </row>
    <row r="30" spans="1:5">
      <c r="A30" s="34"/>
      <c r="B30">
        <v>28</v>
      </c>
      <c r="C30" s="9" t="s">
        <v>23</v>
      </c>
      <c r="D30" t="s">
        <v>150</v>
      </c>
      <c r="E30" t="s">
        <v>154</v>
      </c>
    </row>
    <row r="31" spans="1:5">
      <c r="A31" s="34"/>
      <c r="B31">
        <v>29</v>
      </c>
      <c r="C31" s="9" t="s">
        <v>49</v>
      </c>
      <c r="D31" t="s">
        <v>150</v>
      </c>
      <c r="E31" t="s">
        <v>154</v>
      </c>
    </row>
    <row r="32" spans="1:5">
      <c r="A32" s="34"/>
      <c r="B32">
        <v>30</v>
      </c>
      <c r="C32" s="9" t="s">
        <v>50</v>
      </c>
      <c r="D32" t="s">
        <v>150</v>
      </c>
      <c r="E32" t="s">
        <v>154</v>
      </c>
    </row>
    <row r="33" spans="1:9">
      <c r="A33" s="34"/>
      <c r="B33">
        <v>31</v>
      </c>
      <c r="C33" s="9" t="s">
        <v>51</v>
      </c>
      <c r="D33" t="s">
        <v>150</v>
      </c>
      <c r="E33" t="s">
        <v>154</v>
      </c>
    </row>
    <row r="34" spans="1:9">
      <c r="A34" s="34"/>
      <c r="B34">
        <v>32</v>
      </c>
      <c r="C34" s="9" t="s">
        <v>52</v>
      </c>
      <c r="D34" t="s">
        <v>150</v>
      </c>
      <c r="E34" t="s">
        <v>154</v>
      </c>
    </row>
    <row r="35" spans="1:9">
      <c r="A35" s="34"/>
      <c r="B35">
        <v>33</v>
      </c>
      <c r="C35" s="9" t="s">
        <v>53</v>
      </c>
      <c r="D35" t="s">
        <v>150</v>
      </c>
      <c r="E35" t="s">
        <v>154</v>
      </c>
    </row>
    <row r="36" spans="1:9">
      <c r="A36" s="34"/>
      <c r="B36">
        <v>34</v>
      </c>
      <c r="C36" s="9" t="s">
        <v>54</v>
      </c>
      <c r="D36" t="s">
        <v>150</v>
      </c>
      <c r="E36" t="s">
        <v>154</v>
      </c>
    </row>
    <row r="37" spans="1:9">
      <c r="A37" s="34"/>
      <c r="B37">
        <v>35</v>
      </c>
      <c r="C37" s="10" t="s">
        <v>55</v>
      </c>
      <c r="D37" t="s">
        <v>150</v>
      </c>
      <c r="E37" t="s">
        <v>154</v>
      </c>
    </row>
    <row r="38" spans="1:9">
      <c r="A38" s="34"/>
      <c r="B38">
        <v>36</v>
      </c>
      <c r="C38" s="10" t="s">
        <v>56</v>
      </c>
      <c r="D38" t="s">
        <v>150</v>
      </c>
      <c r="E38" t="s">
        <v>154</v>
      </c>
    </row>
    <row r="39" spans="1:9">
      <c r="A39" s="34"/>
      <c r="B39">
        <v>37</v>
      </c>
      <c r="C39" s="10" t="s">
        <v>57</v>
      </c>
      <c r="D39" t="s">
        <v>150</v>
      </c>
      <c r="E39" t="s">
        <v>154</v>
      </c>
    </row>
    <row r="40" spans="1:9">
      <c r="A40" s="34"/>
      <c r="B40">
        <v>38</v>
      </c>
      <c r="C40" s="10" t="s">
        <v>58</v>
      </c>
      <c r="D40" s="20" t="s">
        <v>150</v>
      </c>
      <c r="E40" t="s">
        <v>154</v>
      </c>
    </row>
    <row r="41" spans="1:9">
      <c r="A41" s="34"/>
      <c r="B41">
        <v>39</v>
      </c>
      <c r="C41" s="10" t="s">
        <v>59</v>
      </c>
      <c r="D41" t="s">
        <v>150</v>
      </c>
      <c r="E41" t="s">
        <v>154</v>
      </c>
    </row>
    <row r="42" spans="1:9">
      <c r="A42" s="34"/>
      <c r="B42">
        <v>40</v>
      </c>
      <c r="C42" s="10" t="s">
        <v>60</v>
      </c>
      <c r="D42" t="s">
        <v>150</v>
      </c>
      <c r="E42" t="s">
        <v>154</v>
      </c>
    </row>
    <row r="43" spans="1:9">
      <c r="A43" s="34"/>
      <c r="B43" s="21">
        <v>41</v>
      </c>
      <c r="C43" s="22" t="s">
        <v>61</v>
      </c>
      <c r="D43" s="21" t="s">
        <v>150</v>
      </c>
      <c r="E43" s="21" t="s">
        <v>154</v>
      </c>
    </row>
    <row r="44" spans="1:9">
      <c r="A44" s="34"/>
      <c r="B44" s="23">
        <v>42</v>
      </c>
      <c r="C44" s="22" t="s">
        <v>62</v>
      </c>
      <c r="D44" s="23" t="s">
        <v>156</v>
      </c>
      <c r="E44" s="23" t="s">
        <v>154</v>
      </c>
    </row>
    <row r="45" spans="1:9">
      <c r="A45" s="34"/>
      <c r="B45" s="21">
        <v>43</v>
      </c>
      <c r="C45" s="22" t="s">
        <v>63</v>
      </c>
      <c r="D45" s="21" t="s">
        <v>150</v>
      </c>
      <c r="E45" s="21" t="s">
        <v>154</v>
      </c>
    </row>
    <row r="46" spans="1:9">
      <c r="A46" s="34"/>
      <c r="B46">
        <v>44</v>
      </c>
      <c r="C46" s="24" t="s">
        <v>64</v>
      </c>
      <c r="D46" t="s">
        <v>150</v>
      </c>
      <c r="E46" t="s">
        <v>154</v>
      </c>
    </row>
    <row r="47" spans="1:9">
      <c r="A47" s="34"/>
      <c r="B47">
        <v>45</v>
      </c>
      <c r="C47" s="10" t="s">
        <v>65</v>
      </c>
      <c r="D47" t="s">
        <v>150</v>
      </c>
      <c r="E47" t="s">
        <v>154</v>
      </c>
    </row>
    <row r="48" spans="1:9" ht="15.75" customHeight="1">
      <c r="A48" s="34"/>
      <c r="B48">
        <v>46</v>
      </c>
      <c r="C48" s="11" t="s">
        <v>66</v>
      </c>
      <c r="D48" t="s">
        <v>150</v>
      </c>
      <c r="E48" t="s">
        <v>154</v>
      </c>
      <c r="I48" s="31" t="s">
        <v>161</v>
      </c>
    </row>
    <row r="49" spans="1:9">
      <c r="A49" s="34"/>
      <c r="B49">
        <v>47</v>
      </c>
      <c r="C49" s="11" t="s">
        <v>67</v>
      </c>
      <c r="D49" t="s">
        <v>150</v>
      </c>
      <c r="E49" t="s">
        <v>154</v>
      </c>
      <c r="I49" s="31"/>
    </row>
    <row r="50" spans="1:9">
      <c r="A50" s="34"/>
      <c r="B50">
        <v>48</v>
      </c>
      <c r="C50" s="11" t="s">
        <v>68</v>
      </c>
      <c r="D50" t="s">
        <v>151</v>
      </c>
      <c r="E50" t="s">
        <v>154</v>
      </c>
      <c r="I50" s="28" t="s">
        <v>162</v>
      </c>
    </row>
    <row r="51" spans="1:9">
      <c r="A51" s="34"/>
      <c r="B51">
        <v>49</v>
      </c>
      <c r="C51" s="11" t="s">
        <v>69</v>
      </c>
      <c r="D51" t="s">
        <v>151</v>
      </c>
      <c r="E51" t="s">
        <v>154</v>
      </c>
      <c r="I51" s="28"/>
    </row>
    <row r="52" spans="1:9">
      <c r="A52" s="34"/>
      <c r="B52">
        <v>50</v>
      </c>
      <c r="C52" s="11" t="s">
        <v>70</v>
      </c>
      <c r="D52" t="s">
        <v>150</v>
      </c>
      <c r="E52" t="s">
        <v>154</v>
      </c>
    </row>
    <row r="53" spans="1:9">
      <c r="A53" s="34"/>
      <c r="B53" s="18">
        <v>51</v>
      </c>
      <c r="C53" s="25" t="s">
        <v>71</v>
      </c>
      <c r="D53" s="18" t="s">
        <v>150</v>
      </c>
      <c r="E53" s="18" t="s">
        <v>154</v>
      </c>
      <c r="I53" s="31" t="s">
        <v>159</v>
      </c>
    </row>
    <row r="54" spans="1:9">
      <c r="A54" s="34"/>
      <c r="B54" s="18">
        <v>52</v>
      </c>
      <c r="C54" s="25" t="s">
        <v>72</v>
      </c>
      <c r="D54" s="18" t="s">
        <v>150</v>
      </c>
      <c r="E54" s="18" t="s">
        <v>154</v>
      </c>
      <c r="I54" s="31"/>
    </row>
    <row r="55" spans="1:9">
      <c r="A55" s="34"/>
      <c r="B55" s="18">
        <v>53</v>
      </c>
      <c r="C55" s="25" t="s">
        <v>73</v>
      </c>
      <c r="D55" s="18" t="s">
        <v>150</v>
      </c>
      <c r="E55" s="18" t="s">
        <v>154</v>
      </c>
      <c r="I55" s="31"/>
    </row>
    <row r="56" spans="1:9">
      <c r="A56" s="34"/>
      <c r="B56" s="18">
        <v>54</v>
      </c>
      <c r="C56" s="25" t="s">
        <v>74</v>
      </c>
      <c r="D56" s="18" t="s">
        <v>150</v>
      </c>
      <c r="E56" s="18" t="s">
        <v>154</v>
      </c>
      <c r="I56" s="31"/>
    </row>
    <row r="57" spans="1:9">
      <c r="A57" s="34"/>
      <c r="B57" s="18">
        <v>55</v>
      </c>
      <c r="C57" s="25" t="s">
        <v>75</v>
      </c>
      <c r="D57" s="18" t="s">
        <v>150</v>
      </c>
      <c r="E57" s="18" t="s">
        <v>154</v>
      </c>
      <c r="I57" s="31"/>
    </row>
    <row r="58" spans="1:9">
      <c r="A58" s="34"/>
      <c r="B58" s="18">
        <v>56</v>
      </c>
      <c r="C58" s="25" t="s">
        <v>76</v>
      </c>
      <c r="D58" s="18" t="s">
        <v>150</v>
      </c>
      <c r="E58" s="18" t="s">
        <v>154</v>
      </c>
    </row>
    <row r="59" spans="1:9">
      <c r="A59" s="34"/>
      <c r="B59" s="18">
        <v>57</v>
      </c>
      <c r="C59" s="25" t="s">
        <v>77</v>
      </c>
      <c r="D59" s="18" t="s">
        <v>150</v>
      </c>
      <c r="E59" s="18" t="s">
        <v>154</v>
      </c>
    </row>
    <row r="60" spans="1:9">
      <c r="A60" s="34"/>
      <c r="B60" s="18">
        <v>58</v>
      </c>
      <c r="C60" s="25" t="s">
        <v>78</v>
      </c>
      <c r="D60" s="18" t="s">
        <v>150</v>
      </c>
      <c r="E60" s="18" t="s">
        <v>154</v>
      </c>
    </row>
    <row r="61" spans="1:9">
      <c r="A61" s="34"/>
      <c r="B61" s="18">
        <v>59</v>
      </c>
      <c r="C61" s="25" t="s">
        <v>79</v>
      </c>
      <c r="D61" s="18" t="s">
        <v>150</v>
      </c>
      <c r="E61" s="18" t="s">
        <v>154</v>
      </c>
      <c r="H61" s="20"/>
      <c r="I61" s="20"/>
    </row>
    <row r="62" spans="1:9">
      <c r="A62" s="34"/>
      <c r="B62" s="18">
        <v>60</v>
      </c>
      <c r="C62" s="25" t="s">
        <v>80</v>
      </c>
      <c r="D62" s="18" t="s">
        <v>150</v>
      </c>
      <c r="E62" s="18" t="s">
        <v>154</v>
      </c>
      <c r="H62" s="20"/>
      <c r="I62" s="20"/>
    </row>
    <row r="63" spans="1:9">
      <c r="A63" s="34"/>
      <c r="B63" s="18">
        <v>61</v>
      </c>
      <c r="C63" s="25" t="s">
        <v>81</v>
      </c>
      <c r="D63" s="18" t="s">
        <v>150</v>
      </c>
      <c r="E63" s="18" t="s">
        <v>154</v>
      </c>
      <c r="F63" s="18"/>
    </row>
    <row r="64" spans="1:9">
      <c r="A64" s="34"/>
      <c r="B64" s="18">
        <v>62</v>
      </c>
      <c r="C64" s="25" t="s">
        <v>82</v>
      </c>
      <c r="D64" s="18" t="s">
        <v>150</v>
      </c>
      <c r="E64" s="18" t="s">
        <v>154</v>
      </c>
      <c r="F64" s="18"/>
    </row>
    <row r="65" spans="1:9">
      <c r="A65" s="34"/>
      <c r="B65" s="18">
        <v>63</v>
      </c>
      <c r="C65" s="25" t="s">
        <v>83</v>
      </c>
      <c r="D65" s="18" t="s">
        <v>150</v>
      </c>
      <c r="E65" s="18" t="s">
        <v>154</v>
      </c>
      <c r="F65" s="18"/>
    </row>
    <row r="66" spans="1:9">
      <c r="A66" s="34"/>
      <c r="B66" s="18">
        <v>64</v>
      </c>
      <c r="C66" s="25" t="s">
        <v>84</v>
      </c>
      <c r="D66" s="18" t="s">
        <v>150</v>
      </c>
      <c r="E66" s="18" t="s">
        <v>154</v>
      </c>
    </row>
    <row r="67" spans="1:9">
      <c r="A67" s="34"/>
      <c r="B67" s="18">
        <v>65</v>
      </c>
      <c r="C67" s="25" t="s">
        <v>85</v>
      </c>
      <c r="D67" s="18" t="s">
        <v>150</v>
      </c>
      <c r="E67" s="18" t="s">
        <v>154</v>
      </c>
    </row>
    <row r="68" spans="1:9">
      <c r="A68" s="34"/>
      <c r="B68" s="18">
        <v>66</v>
      </c>
      <c r="C68" s="25" t="s">
        <v>86</v>
      </c>
      <c r="D68" s="18" t="s">
        <v>150</v>
      </c>
      <c r="E68" s="18" t="s">
        <v>154</v>
      </c>
    </row>
    <row r="69" spans="1:9">
      <c r="A69" s="34"/>
      <c r="B69" s="18">
        <v>67</v>
      </c>
      <c r="C69" s="25" t="s">
        <v>87</v>
      </c>
      <c r="D69" s="18" t="s">
        <v>150</v>
      </c>
      <c r="E69" s="18" t="s">
        <v>154</v>
      </c>
    </row>
    <row r="70" spans="1:9">
      <c r="A70" s="34"/>
      <c r="B70" s="18">
        <v>68</v>
      </c>
      <c r="C70" s="25" t="s">
        <v>88</v>
      </c>
      <c r="D70" s="18" t="s">
        <v>150</v>
      </c>
      <c r="E70" s="18" t="s">
        <v>154</v>
      </c>
      <c r="F70" s="18"/>
    </row>
    <row r="71" spans="1:9">
      <c r="A71" s="34"/>
      <c r="B71">
        <v>69</v>
      </c>
      <c r="C71" s="12" t="s">
        <v>89</v>
      </c>
      <c r="D71" t="s">
        <v>150</v>
      </c>
      <c r="E71" t="s">
        <v>154</v>
      </c>
      <c r="I71" s="32" t="s">
        <v>160</v>
      </c>
    </row>
    <row r="72" spans="1:9">
      <c r="A72" s="34"/>
      <c r="B72">
        <v>70</v>
      </c>
      <c r="C72" s="12" t="s">
        <v>90</v>
      </c>
      <c r="D72" t="s">
        <v>151</v>
      </c>
      <c r="E72" t="s">
        <v>154</v>
      </c>
      <c r="I72" s="32"/>
    </row>
    <row r="73" spans="1:9">
      <c r="A73" s="34"/>
      <c r="B73">
        <v>71</v>
      </c>
      <c r="C73" s="12" t="s">
        <v>91</v>
      </c>
      <c r="D73" t="s">
        <v>151</v>
      </c>
      <c r="E73" t="s">
        <v>154</v>
      </c>
    </row>
    <row r="74" spans="1:9">
      <c r="A74" s="34"/>
      <c r="B74">
        <v>72</v>
      </c>
      <c r="C74" s="12" t="s">
        <v>92</v>
      </c>
      <c r="D74" t="s">
        <v>151</v>
      </c>
      <c r="E74" t="s">
        <v>154</v>
      </c>
    </row>
    <row r="75" spans="1:9">
      <c r="A75" s="34"/>
      <c r="B75">
        <v>73</v>
      </c>
      <c r="C75" s="13" t="s">
        <v>93</v>
      </c>
      <c r="D75" t="s">
        <v>156</v>
      </c>
      <c r="E75" t="s">
        <v>154</v>
      </c>
    </row>
    <row r="76" spans="1:9">
      <c r="A76" s="34"/>
      <c r="B76">
        <v>74</v>
      </c>
      <c r="C76" s="13" t="s">
        <v>94</v>
      </c>
      <c r="D76" t="s">
        <v>156</v>
      </c>
      <c r="E76" t="s">
        <v>154</v>
      </c>
    </row>
    <row r="77" spans="1:9">
      <c r="A77" s="34"/>
      <c r="B77">
        <v>75</v>
      </c>
      <c r="C77" s="15" t="s">
        <v>95</v>
      </c>
      <c r="D77" t="s">
        <v>150</v>
      </c>
      <c r="E77" t="s">
        <v>154</v>
      </c>
    </row>
    <row r="78" spans="1:9">
      <c r="A78" s="34"/>
      <c r="B78">
        <v>76</v>
      </c>
      <c r="C78" s="15" t="s">
        <v>96</v>
      </c>
      <c r="D78" t="s">
        <v>150</v>
      </c>
      <c r="E78" t="s">
        <v>154</v>
      </c>
    </row>
    <row r="79" spans="1:9">
      <c r="A79" s="34"/>
      <c r="B79">
        <v>77</v>
      </c>
      <c r="C79" s="15" t="s">
        <v>97</v>
      </c>
      <c r="D79" t="s">
        <v>150</v>
      </c>
      <c r="E79" t="s">
        <v>154</v>
      </c>
    </row>
    <row r="80" spans="1:9">
      <c r="A80" s="34"/>
      <c r="B80">
        <v>78</v>
      </c>
      <c r="C80" s="15" t="s">
        <v>98</v>
      </c>
      <c r="D80" t="s">
        <v>150</v>
      </c>
      <c r="E80" t="s">
        <v>154</v>
      </c>
    </row>
    <row r="81" spans="1:5">
      <c r="A81" s="34"/>
      <c r="B81">
        <v>79</v>
      </c>
      <c r="C81" s="15" t="s">
        <v>99</v>
      </c>
      <c r="D81" t="s">
        <v>150</v>
      </c>
      <c r="E81" t="s">
        <v>154</v>
      </c>
    </row>
    <row r="82" spans="1:5">
      <c r="A82" s="34"/>
      <c r="B82">
        <v>80</v>
      </c>
      <c r="C82" s="15" t="s">
        <v>100</v>
      </c>
      <c r="D82" t="s">
        <v>150</v>
      </c>
      <c r="E82" t="s">
        <v>154</v>
      </c>
    </row>
    <row r="83" spans="1:5">
      <c r="A83" s="34"/>
      <c r="B83">
        <v>81</v>
      </c>
      <c r="C83" s="15" t="s">
        <v>101</v>
      </c>
      <c r="D83" t="s">
        <v>150</v>
      </c>
      <c r="E83" t="s">
        <v>154</v>
      </c>
    </row>
    <row r="84" spans="1:5">
      <c r="A84" s="34"/>
      <c r="B84">
        <v>82</v>
      </c>
      <c r="C84" s="15" t="s">
        <v>102</v>
      </c>
      <c r="D84" t="s">
        <v>150</v>
      </c>
      <c r="E84" t="s">
        <v>154</v>
      </c>
    </row>
    <row r="85" spans="1:5">
      <c r="A85" s="34"/>
      <c r="B85">
        <v>83</v>
      </c>
      <c r="C85" s="15" t="s">
        <v>103</v>
      </c>
      <c r="D85" t="s">
        <v>150</v>
      </c>
      <c r="E85" t="s">
        <v>154</v>
      </c>
    </row>
    <row r="86" spans="1:5">
      <c r="A86" s="34"/>
      <c r="B86">
        <v>84</v>
      </c>
      <c r="C86" s="15" t="s">
        <v>104</v>
      </c>
      <c r="D86" t="s">
        <v>150</v>
      </c>
      <c r="E86" t="s">
        <v>154</v>
      </c>
    </row>
    <row r="87" spans="1:5">
      <c r="A87" s="34"/>
      <c r="B87">
        <v>85</v>
      </c>
      <c r="C87" s="15" t="s">
        <v>105</v>
      </c>
      <c r="D87" t="s">
        <v>150</v>
      </c>
      <c r="E87" t="s">
        <v>154</v>
      </c>
    </row>
    <row r="88" spans="1:5">
      <c r="A88" s="34"/>
      <c r="B88">
        <v>86</v>
      </c>
      <c r="C88" s="15" t="s">
        <v>106</v>
      </c>
      <c r="D88" t="s">
        <v>150</v>
      </c>
      <c r="E88" t="s">
        <v>154</v>
      </c>
    </row>
    <row r="89" spans="1:5">
      <c r="A89" s="34"/>
      <c r="B89">
        <v>87</v>
      </c>
      <c r="C89" s="15" t="s">
        <v>107</v>
      </c>
      <c r="D89" t="s">
        <v>150</v>
      </c>
      <c r="E89" t="s">
        <v>154</v>
      </c>
    </row>
    <row r="90" spans="1:5">
      <c r="A90" s="34"/>
      <c r="B90">
        <v>88</v>
      </c>
      <c r="C90" s="15" t="s">
        <v>108</v>
      </c>
      <c r="D90" t="s">
        <v>150</v>
      </c>
      <c r="E90" t="s">
        <v>154</v>
      </c>
    </row>
    <row r="91" spans="1:5">
      <c r="A91" s="34"/>
      <c r="B91">
        <v>89</v>
      </c>
      <c r="C91" s="15" t="s">
        <v>109</v>
      </c>
      <c r="D91" t="s">
        <v>150</v>
      </c>
      <c r="E91" t="s">
        <v>154</v>
      </c>
    </row>
    <row r="92" spans="1:5">
      <c r="A92" s="34"/>
      <c r="B92">
        <v>90</v>
      </c>
      <c r="C92" s="15" t="s">
        <v>110</v>
      </c>
      <c r="D92" t="s">
        <v>150</v>
      </c>
      <c r="E92" t="s">
        <v>154</v>
      </c>
    </row>
    <row r="93" spans="1:5">
      <c r="A93" s="34"/>
      <c r="B93">
        <v>91</v>
      </c>
      <c r="C93" s="15" t="s">
        <v>111</v>
      </c>
      <c r="D93" t="s">
        <v>150</v>
      </c>
      <c r="E93" t="s">
        <v>154</v>
      </c>
    </row>
    <row r="94" spans="1:5">
      <c r="A94" s="34"/>
      <c r="B94">
        <v>92</v>
      </c>
      <c r="C94" s="15" t="s">
        <v>112</v>
      </c>
      <c r="D94" t="s">
        <v>150</v>
      </c>
      <c r="E94" t="s">
        <v>154</v>
      </c>
    </row>
    <row r="95" spans="1:5">
      <c r="A95" s="34"/>
      <c r="B95">
        <v>93</v>
      </c>
      <c r="C95" s="15" t="s">
        <v>113</v>
      </c>
      <c r="D95" t="s">
        <v>150</v>
      </c>
      <c r="E95" t="s">
        <v>154</v>
      </c>
    </row>
    <row r="96" spans="1:5">
      <c r="A96" s="34"/>
      <c r="B96">
        <v>94</v>
      </c>
      <c r="C96" s="15" t="s">
        <v>114</v>
      </c>
      <c r="D96" t="s">
        <v>150</v>
      </c>
      <c r="E96" t="s">
        <v>154</v>
      </c>
    </row>
    <row r="97" spans="1:9">
      <c r="A97" s="34"/>
      <c r="B97">
        <v>95</v>
      </c>
      <c r="C97" s="15" t="s">
        <v>115</v>
      </c>
      <c r="D97" t="s">
        <v>150</v>
      </c>
      <c r="E97" t="s">
        <v>154</v>
      </c>
    </row>
    <row r="98" spans="1:9">
      <c r="A98" s="34"/>
      <c r="B98" s="18">
        <v>96</v>
      </c>
      <c r="C98" s="15" t="s">
        <v>116</v>
      </c>
      <c r="D98" s="18" t="s">
        <v>150</v>
      </c>
      <c r="E98" s="18" t="s">
        <v>154</v>
      </c>
      <c r="F98" s="18"/>
    </row>
    <row r="99" spans="1:9">
      <c r="A99" s="34"/>
      <c r="B99">
        <v>97</v>
      </c>
      <c r="C99" s="15" t="s">
        <v>117</v>
      </c>
      <c r="D99" t="s">
        <v>150</v>
      </c>
      <c r="E99" t="s">
        <v>154</v>
      </c>
    </row>
    <row r="100" spans="1:9">
      <c r="A100" s="34"/>
      <c r="B100">
        <v>98</v>
      </c>
      <c r="C100" s="15" t="s">
        <v>118</v>
      </c>
      <c r="D100" t="s">
        <v>150</v>
      </c>
      <c r="E100" t="s">
        <v>154</v>
      </c>
    </row>
    <row r="101" spans="1:9">
      <c r="A101" s="34"/>
      <c r="B101">
        <v>99</v>
      </c>
      <c r="C101" s="15" t="s">
        <v>119</v>
      </c>
      <c r="D101" t="s">
        <v>150</v>
      </c>
      <c r="E101" t="s">
        <v>154</v>
      </c>
    </row>
    <row r="102" spans="1:9">
      <c r="A102" s="34"/>
      <c r="B102">
        <v>100</v>
      </c>
      <c r="C102" s="15" t="s">
        <v>120</v>
      </c>
      <c r="D102" t="s">
        <v>150</v>
      </c>
      <c r="E102" t="s">
        <v>154</v>
      </c>
    </row>
    <row r="103" spans="1:9">
      <c r="A103" s="34"/>
      <c r="B103">
        <v>101</v>
      </c>
      <c r="C103" s="15" t="s">
        <v>121</v>
      </c>
      <c r="D103" t="s">
        <v>150</v>
      </c>
      <c r="E103" t="s">
        <v>154</v>
      </c>
    </row>
    <row r="104" spans="1:9">
      <c r="A104" s="34"/>
      <c r="B104">
        <v>102</v>
      </c>
      <c r="C104" s="15" t="s">
        <v>122</v>
      </c>
      <c r="D104" t="s">
        <v>150</v>
      </c>
      <c r="E104" t="s">
        <v>154</v>
      </c>
    </row>
    <row r="105" spans="1:9">
      <c r="A105" s="34"/>
      <c r="B105">
        <v>103</v>
      </c>
      <c r="C105" s="15" t="s">
        <v>123</v>
      </c>
      <c r="D105" t="s">
        <v>150</v>
      </c>
      <c r="E105" t="s">
        <v>154</v>
      </c>
    </row>
    <row r="106" spans="1:9">
      <c r="A106" s="34"/>
      <c r="B106">
        <v>104</v>
      </c>
      <c r="C106" s="15" t="s">
        <v>124</v>
      </c>
      <c r="D106" t="s">
        <v>150</v>
      </c>
      <c r="E106" t="s">
        <v>154</v>
      </c>
    </row>
    <row r="107" spans="1:9">
      <c r="A107" s="34"/>
      <c r="B107">
        <v>105</v>
      </c>
      <c r="C107" s="15" t="s">
        <v>125</v>
      </c>
      <c r="D107" t="s">
        <v>150</v>
      </c>
      <c r="E107" t="s">
        <v>154</v>
      </c>
    </row>
    <row r="108" spans="1:9">
      <c r="A108" s="34"/>
      <c r="B108">
        <v>106</v>
      </c>
      <c r="C108" s="15" t="s">
        <v>126</v>
      </c>
      <c r="D108" t="s">
        <v>150</v>
      </c>
      <c r="E108" t="s">
        <v>154</v>
      </c>
    </row>
    <row r="109" spans="1:9">
      <c r="A109" s="34"/>
      <c r="B109">
        <v>107</v>
      </c>
      <c r="C109" s="14" t="s">
        <v>127</v>
      </c>
      <c r="D109" t="s">
        <v>150</v>
      </c>
      <c r="E109" t="s">
        <v>154</v>
      </c>
      <c r="I109" s="27"/>
    </row>
    <row r="110" spans="1:9">
      <c r="A110" s="34"/>
      <c r="B110">
        <v>108</v>
      </c>
      <c r="C110" s="14" t="s">
        <v>128</v>
      </c>
      <c r="D110" t="s">
        <v>150</v>
      </c>
      <c r="E110" t="s">
        <v>154</v>
      </c>
      <c r="I110" s="27"/>
    </row>
    <row r="111" spans="1:9">
      <c r="A111" s="34"/>
      <c r="B111">
        <v>109</v>
      </c>
      <c r="C111" s="14" t="s">
        <v>129</v>
      </c>
      <c r="D111" t="s">
        <v>150</v>
      </c>
      <c r="E111" t="s">
        <v>154</v>
      </c>
    </row>
    <row r="112" spans="1:9">
      <c r="A112" s="34"/>
      <c r="B112">
        <v>110</v>
      </c>
      <c r="C112" s="14" t="s">
        <v>130</v>
      </c>
      <c r="D112" s="26" t="s">
        <v>150</v>
      </c>
      <c r="E112" t="s">
        <v>154</v>
      </c>
    </row>
    <row r="113" spans="1:9">
      <c r="A113" s="34"/>
      <c r="B113">
        <v>111</v>
      </c>
      <c r="C113" s="14" t="s">
        <v>131</v>
      </c>
      <c r="D113" t="s">
        <v>150</v>
      </c>
      <c r="E113" t="s">
        <v>154</v>
      </c>
    </row>
    <row r="114" spans="1:9">
      <c r="A114" s="34"/>
      <c r="B114">
        <v>112</v>
      </c>
      <c r="C114" s="14" t="s">
        <v>132</v>
      </c>
      <c r="D114" t="s">
        <v>150</v>
      </c>
      <c r="E114" t="s">
        <v>154</v>
      </c>
    </row>
    <row r="115" spans="1:9">
      <c r="A115" s="34"/>
      <c r="B115">
        <v>113</v>
      </c>
      <c r="C115" s="14" t="s">
        <v>133</v>
      </c>
      <c r="D115" t="s">
        <v>150</v>
      </c>
      <c r="E115" t="s">
        <v>154</v>
      </c>
    </row>
    <row r="116" spans="1:9">
      <c r="A116" s="34"/>
      <c r="B116">
        <v>114</v>
      </c>
      <c r="C116" s="14" t="s">
        <v>134</v>
      </c>
      <c r="D116" t="s">
        <v>150</v>
      </c>
      <c r="E116" t="s">
        <v>154</v>
      </c>
    </row>
    <row r="117" spans="1:9">
      <c r="A117" s="34"/>
      <c r="B117">
        <v>115</v>
      </c>
      <c r="C117" s="14" t="s">
        <v>135</v>
      </c>
      <c r="D117" t="s">
        <v>150</v>
      </c>
      <c r="E117" t="s">
        <v>154</v>
      </c>
    </row>
    <row r="118" spans="1:9">
      <c r="A118" s="34"/>
      <c r="B118">
        <v>116</v>
      </c>
      <c r="C118" s="14" t="s">
        <v>136</v>
      </c>
      <c r="D118" t="s">
        <v>151</v>
      </c>
      <c r="E118" t="s">
        <v>154</v>
      </c>
      <c r="I118" s="33" t="s">
        <v>163</v>
      </c>
    </row>
    <row r="119" spans="1:9">
      <c r="A119" s="34"/>
      <c r="B119">
        <v>117</v>
      </c>
      <c r="C119" s="14" t="s">
        <v>137</v>
      </c>
      <c r="D119" t="s">
        <v>151</v>
      </c>
      <c r="E119" t="s">
        <v>154</v>
      </c>
      <c r="I119" s="32"/>
    </row>
    <row r="120" spans="1:9">
      <c r="A120" s="34"/>
      <c r="B120">
        <v>118</v>
      </c>
      <c r="C120" s="14" t="s">
        <v>138</v>
      </c>
      <c r="D120" t="s">
        <v>151</v>
      </c>
      <c r="E120" t="s">
        <v>154</v>
      </c>
    </row>
    <row r="121" spans="1:9">
      <c r="A121" s="34"/>
      <c r="B121">
        <v>119</v>
      </c>
      <c r="C121" s="14" t="s">
        <v>139</v>
      </c>
      <c r="D121" t="s">
        <v>150</v>
      </c>
      <c r="E121" t="s">
        <v>154</v>
      </c>
    </row>
    <row r="122" spans="1:9">
      <c r="A122" s="34"/>
      <c r="B122">
        <v>120</v>
      </c>
      <c r="C122" s="17" t="s">
        <v>140</v>
      </c>
      <c r="D122" t="s">
        <v>150</v>
      </c>
      <c r="E122" t="s">
        <v>154</v>
      </c>
    </row>
    <row r="123" spans="1:9">
      <c r="A123" s="34"/>
      <c r="B123">
        <v>121</v>
      </c>
      <c r="C123" s="17" t="s">
        <v>141</v>
      </c>
      <c r="D123" t="s">
        <v>150</v>
      </c>
      <c r="E123" t="s">
        <v>154</v>
      </c>
    </row>
    <row r="124" spans="1:9">
      <c r="A124" s="34"/>
      <c r="B124">
        <v>122</v>
      </c>
      <c r="C124" s="17" t="s">
        <v>142</v>
      </c>
      <c r="D124" t="s">
        <v>150</v>
      </c>
      <c r="E124" t="s">
        <v>154</v>
      </c>
    </row>
    <row r="125" spans="1:9">
      <c r="A125" s="34"/>
      <c r="B125">
        <v>123</v>
      </c>
      <c r="C125" s="17" t="s">
        <v>143</v>
      </c>
      <c r="D125" t="s">
        <v>150</v>
      </c>
      <c r="E125" t="s">
        <v>154</v>
      </c>
    </row>
    <row r="126" spans="1:9">
      <c r="A126" s="34"/>
      <c r="B126">
        <v>124</v>
      </c>
      <c r="C126" s="17" t="s">
        <v>144</v>
      </c>
      <c r="D126" t="s">
        <v>150</v>
      </c>
      <c r="E126" t="s">
        <v>154</v>
      </c>
    </row>
    <row r="127" spans="1:9">
      <c r="A127" s="34"/>
      <c r="B127">
        <v>125</v>
      </c>
      <c r="C127" s="17" t="s">
        <v>145</v>
      </c>
      <c r="D127" t="s">
        <v>150</v>
      </c>
      <c r="E127" t="s">
        <v>154</v>
      </c>
    </row>
    <row r="128" spans="1:9">
      <c r="A128" s="34"/>
      <c r="B128">
        <v>126</v>
      </c>
      <c r="C128" s="17" t="s">
        <v>146</v>
      </c>
      <c r="D128" t="s">
        <v>150</v>
      </c>
      <c r="E128" t="s">
        <v>154</v>
      </c>
    </row>
    <row r="129" spans="1:5">
      <c r="A129" s="34"/>
      <c r="B129">
        <v>127</v>
      </c>
      <c r="C129" s="16" t="s">
        <v>147</v>
      </c>
      <c r="D129" t="s">
        <v>150</v>
      </c>
      <c r="E129" t="s">
        <v>154</v>
      </c>
    </row>
    <row r="130" spans="1:5">
      <c r="A130" s="34"/>
      <c r="B130">
        <v>128</v>
      </c>
      <c r="C130" s="16" t="s">
        <v>148</v>
      </c>
      <c r="D130" t="s">
        <v>150</v>
      </c>
      <c r="E130" t="s">
        <v>154</v>
      </c>
    </row>
    <row r="131" spans="1:5">
      <c r="A131" s="30" t="s">
        <v>165</v>
      </c>
      <c r="B131">
        <v>1</v>
      </c>
      <c r="C131" s="9" t="s">
        <v>22</v>
      </c>
      <c r="D131">
        <v>1</v>
      </c>
      <c r="E131" t="s">
        <v>154</v>
      </c>
    </row>
    <row r="132" spans="1:5">
      <c r="A132" s="30"/>
      <c r="B132">
        <v>2</v>
      </c>
      <c r="C132" s="9" t="s">
        <v>23</v>
      </c>
      <c r="D132">
        <v>1</v>
      </c>
      <c r="E132" t="s">
        <v>154</v>
      </c>
    </row>
    <row r="133" spans="1:5">
      <c r="A133" s="30"/>
      <c r="B133">
        <v>3</v>
      </c>
      <c r="C133" s="9" t="s">
        <v>24</v>
      </c>
      <c r="D133">
        <v>1</v>
      </c>
      <c r="E133" t="s">
        <v>154</v>
      </c>
    </row>
    <row r="134" spans="1:5">
      <c r="A134" s="30"/>
      <c r="B134">
        <v>4</v>
      </c>
      <c r="C134" s="9" t="s">
        <v>25</v>
      </c>
      <c r="D134">
        <v>1</v>
      </c>
      <c r="E134" t="s">
        <v>154</v>
      </c>
    </row>
    <row r="135" spans="1:5">
      <c r="A135" s="30"/>
      <c r="B135">
        <v>5</v>
      </c>
      <c r="C135" s="9" t="s">
        <v>26</v>
      </c>
      <c r="D135">
        <v>1</v>
      </c>
      <c r="E135" t="s">
        <v>154</v>
      </c>
    </row>
    <row r="136" spans="1:5">
      <c r="A136" s="30"/>
      <c r="B136">
        <v>6</v>
      </c>
      <c r="C136" s="9" t="s">
        <v>27</v>
      </c>
      <c r="D136">
        <v>1</v>
      </c>
      <c r="E136" t="s">
        <v>154</v>
      </c>
    </row>
    <row r="137" spans="1:5">
      <c r="A137" s="30"/>
      <c r="B137">
        <v>7</v>
      </c>
      <c r="C137" s="9" t="s">
        <v>28</v>
      </c>
      <c r="D137">
        <v>1</v>
      </c>
      <c r="E137" t="s">
        <v>154</v>
      </c>
    </row>
    <row r="138" spans="1:5">
      <c r="A138" s="30"/>
      <c r="B138">
        <v>8</v>
      </c>
      <c r="C138" s="9" t="s">
        <v>29</v>
      </c>
      <c r="D138">
        <v>1</v>
      </c>
      <c r="E138" t="s">
        <v>154</v>
      </c>
    </row>
    <row r="139" spans="1:5">
      <c r="A139" s="30"/>
      <c r="B139">
        <v>10</v>
      </c>
      <c r="C139" s="9" t="s">
        <v>31</v>
      </c>
      <c r="D139">
        <v>1</v>
      </c>
      <c r="E139" t="s">
        <v>154</v>
      </c>
    </row>
    <row r="140" spans="1:5">
      <c r="A140" s="30"/>
      <c r="B140">
        <v>11</v>
      </c>
      <c r="C140" s="9" t="s">
        <v>32</v>
      </c>
      <c r="D140">
        <v>1</v>
      </c>
      <c r="E140" t="s">
        <v>154</v>
      </c>
    </row>
    <row r="141" spans="1:5">
      <c r="A141" s="30"/>
      <c r="B141">
        <v>12</v>
      </c>
      <c r="C141" s="9" t="s">
        <v>33</v>
      </c>
      <c r="D141">
        <v>1</v>
      </c>
      <c r="E141" t="s">
        <v>154</v>
      </c>
    </row>
    <row r="142" spans="1:5">
      <c r="A142" s="30"/>
      <c r="B142">
        <v>13</v>
      </c>
      <c r="C142" s="9" t="s">
        <v>34</v>
      </c>
      <c r="D142">
        <v>1</v>
      </c>
      <c r="E142" t="s">
        <v>154</v>
      </c>
    </row>
    <row r="143" spans="1:5">
      <c r="A143" s="30"/>
      <c r="B143">
        <v>14</v>
      </c>
      <c r="C143" s="9" t="s">
        <v>35</v>
      </c>
      <c r="D143">
        <v>1</v>
      </c>
      <c r="E143" t="s">
        <v>154</v>
      </c>
    </row>
    <row r="144" spans="1:5">
      <c r="A144" s="30"/>
      <c r="B144">
        <v>15</v>
      </c>
      <c r="C144" s="9" t="s">
        <v>36</v>
      </c>
      <c r="D144">
        <v>1</v>
      </c>
      <c r="E144" t="s">
        <v>154</v>
      </c>
    </row>
    <row r="145" spans="1:5">
      <c r="A145" s="30"/>
      <c r="B145">
        <v>16</v>
      </c>
      <c r="C145" s="9" t="s">
        <v>37</v>
      </c>
      <c r="D145">
        <v>1</v>
      </c>
      <c r="E145" t="s">
        <v>154</v>
      </c>
    </row>
    <row r="146" spans="1:5">
      <c r="A146" s="30"/>
      <c r="B146">
        <v>17</v>
      </c>
      <c r="C146" s="9" t="s">
        <v>38</v>
      </c>
      <c r="D146">
        <v>1</v>
      </c>
      <c r="E146" t="s">
        <v>154</v>
      </c>
    </row>
    <row r="147" spans="1:5">
      <c r="A147" s="30"/>
      <c r="B147">
        <v>18</v>
      </c>
      <c r="C147" s="9" t="s">
        <v>39</v>
      </c>
      <c r="D147">
        <v>1</v>
      </c>
      <c r="E147" t="s">
        <v>154</v>
      </c>
    </row>
    <row r="148" spans="1:5">
      <c r="A148" s="30"/>
      <c r="B148">
        <v>19</v>
      </c>
      <c r="C148" s="9" t="s">
        <v>40</v>
      </c>
      <c r="D148">
        <v>1</v>
      </c>
      <c r="E148" t="s">
        <v>154</v>
      </c>
    </row>
    <row r="149" spans="1:5">
      <c r="A149" s="30"/>
      <c r="B149">
        <v>20</v>
      </c>
      <c r="C149" s="9" t="s">
        <v>41</v>
      </c>
      <c r="D149">
        <v>1</v>
      </c>
      <c r="E149" t="s">
        <v>154</v>
      </c>
    </row>
    <row r="150" spans="1:5">
      <c r="A150" s="30"/>
      <c r="B150">
        <v>21</v>
      </c>
      <c r="C150" s="9" t="s">
        <v>42</v>
      </c>
      <c r="D150">
        <v>1</v>
      </c>
      <c r="E150" t="s">
        <v>154</v>
      </c>
    </row>
    <row r="151" spans="1:5">
      <c r="A151" s="30"/>
      <c r="B151">
        <v>22</v>
      </c>
      <c r="C151" s="9" t="s">
        <v>43</v>
      </c>
      <c r="D151">
        <v>1</v>
      </c>
      <c r="E151" t="s">
        <v>154</v>
      </c>
    </row>
    <row r="152" spans="1:5">
      <c r="A152" s="30"/>
      <c r="B152">
        <v>23</v>
      </c>
      <c r="C152" s="9" t="s">
        <v>44</v>
      </c>
      <c r="D152">
        <v>1</v>
      </c>
      <c r="E152" t="s">
        <v>154</v>
      </c>
    </row>
    <row r="153" spans="1:5">
      <c r="A153" s="30"/>
      <c r="B153">
        <v>24</v>
      </c>
      <c r="C153" s="9" t="s">
        <v>45</v>
      </c>
      <c r="D153">
        <v>1</v>
      </c>
      <c r="E153" t="s">
        <v>154</v>
      </c>
    </row>
    <row r="154" spans="1:5">
      <c r="A154" s="30"/>
      <c r="B154">
        <v>25</v>
      </c>
      <c r="C154" s="9" t="s">
        <v>46</v>
      </c>
      <c r="D154">
        <v>1</v>
      </c>
      <c r="E154" t="s">
        <v>154</v>
      </c>
    </row>
    <row r="155" spans="1:5">
      <c r="A155" s="30"/>
      <c r="B155">
        <v>26</v>
      </c>
      <c r="C155" s="9" t="s">
        <v>47</v>
      </c>
      <c r="D155">
        <v>1</v>
      </c>
      <c r="E155" t="s">
        <v>154</v>
      </c>
    </row>
    <row r="156" spans="1:5">
      <c r="A156" s="30"/>
      <c r="B156">
        <v>27</v>
      </c>
      <c r="C156" s="9" t="s">
        <v>48</v>
      </c>
      <c r="D156">
        <v>1</v>
      </c>
      <c r="E156" t="s">
        <v>154</v>
      </c>
    </row>
    <row r="157" spans="1:5">
      <c r="A157" s="30"/>
      <c r="B157">
        <v>28</v>
      </c>
      <c r="C157" s="9" t="s">
        <v>23</v>
      </c>
      <c r="D157">
        <v>1</v>
      </c>
      <c r="E157" t="s">
        <v>154</v>
      </c>
    </row>
    <row r="158" spans="1:5">
      <c r="A158" s="30"/>
      <c r="B158">
        <v>29</v>
      </c>
      <c r="C158" s="9" t="s">
        <v>49</v>
      </c>
      <c r="D158">
        <v>1</v>
      </c>
      <c r="E158" t="s">
        <v>154</v>
      </c>
    </row>
    <row r="159" spans="1:5">
      <c r="A159" s="30"/>
      <c r="B159">
        <v>30</v>
      </c>
      <c r="C159" s="9" t="s">
        <v>50</v>
      </c>
      <c r="D159">
        <v>1</v>
      </c>
      <c r="E159" t="s">
        <v>154</v>
      </c>
    </row>
    <row r="160" spans="1:5">
      <c r="A160" s="30"/>
      <c r="B160">
        <v>31</v>
      </c>
      <c r="C160" s="9" t="s">
        <v>51</v>
      </c>
      <c r="D160">
        <v>1</v>
      </c>
      <c r="E160" t="s">
        <v>154</v>
      </c>
    </row>
    <row r="161" spans="1:5">
      <c r="A161" s="30"/>
      <c r="B161">
        <v>32</v>
      </c>
      <c r="C161" s="9" t="s">
        <v>52</v>
      </c>
      <c r="D161">
        <v>1</v>
      </c>
      <c r="E161" t="s">
        <v>154</v>
      </c>
    </row>
    <row r="162" spans="1:5">
      <c r="A162" s="30"/>
      <c r="B162">
        <v>33</v>
      </c>
      <c r="C162" s="9" t="s">
        <v>53</v>
      </c>
      <c r="D162">
        <v>1</v>
      </c>
      <c r="E162" t="s">
        <v>154</v>
      </c>
    </row>
    <row r="163" spans="1:5">
      <c r="A163" s="30"/>
      <c r="B163">
        <v>34</v>
      </c>
      <c r="C163" s="9" t="s">
        <v>54</v>
      </c>
      <c r="D163">
        <v>1</v>
      </c>
      <c r="E163" t="s">
        <v>154</v>
      </c>
    </row>
    <row r="164" spans="1:5">
      <c r="A164" s="30"/>
      <c r="B164">
        <v>35</v>
      </c>
      <c r="C164" s="10" t="s">
        <v>55</v>
      </c>
      <c r="D164" s="20">
        <v>1</v>
      </c>
      <c r="E164" t="s">
        <v>154</v>
      </c>
    </row>
    <row r="165" spans="1:5">
      <c r="A165" s="30"/>
      <c r="B165">
        <v>36</v>
      </c>
      <c r="C165" s="10" t="s">
        <v>56</v>
      </c>
      <c r="D165" s="20">
        <v>1</v>
      </c>
      <c r="E165" t="s">
        <v>154</v>
      </c>
    </row>
    <row r="166" spans="1:5">
      <c r="A166" s="30"/>
      <c r="B166">
        <v>37</v>
      </c>
      <c r="C166" s="10" t="s">
        <v>57</v>
      </c>
      <c r="D166" s="20">
        <v>1</v>
      </c>
      <c r="E166" t="s">
        <v>154</v>
      </c>
    </row>
    <row r="167" spans="1:5">
      <c r="A167" s="30"/>
      <c r="B167">
        <v>38</v>
      </c>
      <c r="C167" s="10" t="s">
        <v>58</v>
      </c>
      <c r="D167" s="20">
        <v>1</v>
      </c>
      <c r="E167" t="s">
        <v>154</v>
      </c>
    </row>
    <row r="168" spans="1:5">
      <c r="A168" s="30"/>
      <c r="B168">
        <v>39</v>
      </c>
      <c r="C168" s="10" t="s">
        <v>59</v>
      </c>
      <c r="D168" s="20">
        <v>1</v>
      </c>
      <c r="E168" t="s">
        <v>154</v>
      </c>
    </row>
    <row r="169" spans="1:5">
      <c r="A169" s="30"/>
      <c r="B169">
        <v>40</v>
      </c>
      <c r="C169" s="10" t="s">
        <v>60</v>
      </c>
      <c r="D169" s="20">
        <v>1</v>
      </c>
      <c r="E169" t="s">
        <v>154</v>
      </c>
    </row>
    <row r="170" spans="1:5">
      <c r="A170" s="30"/>
      <c r="B170" s="21">
        <v>41</v>
      </c>
      <c r="C170" s="22" t="s">
        <v>61</v>
      </c>
      <c r="D170" s="21">
        <v>1</v>
      </c>
      <c r="E170" s="21" t="s">
        <v>154</v>
      </c>
    </row>
    <row r="171" spans="1:5">
      <c r="A171" s="30"/>
      <c r="B171" s="21">
        <v>43</v>
      </c>
      <c r="C171" s="22" t="s">
        <v>63</v>
      </c>
      <c r="D171" s="21">
        <v>1</v>
      </c>
      <c r="E171" s="21" t="s">
        <v>154</v>
      </c>
    </row>
    <row r="172" spans="1:5">
      <c r="A172" s="30"/>
      <c r="B172">
        <v>44</v>
      </c>
      <c r="C172" s="24" t="s">
        <v>64</v>
      </c>
      <c r="D172" s="21">
        <v>1</v>
      </c>
      <c r="E172" t="s">
        <v>154</v>
      </c>
    </row>
    <row r="173" spans="1:5">
      <c r="A173" s="30"/>
      <c r="B173">
        <v>45</v>
      </c>
      <c r="C173" s="10" t="s">
        <v>65</v>
      </c>
      <c r="D173" s="21">
        <v>1</v>
      </c>
      <c r="E173" t="s">
        <v>154</v>
      </c>
    </row>
    <row r="174" spans="1:5">
      <c r="A174" s="30"/>
      <c r="B174">
        <v>46</v>
      </c>
      <c r="C174" s="11" t="s">
        <v>66</v>
      </c>
      <c r="D174" s="21">
        <v>1</v>
      </c>
      <c r="E174" t="s">
        <v>154</v>
      </c>
    </row>
    <row r="175" spans="1:5">
      <c r="A175" s="30"/>
      <c r="B175">
        <v>47</v>
      </c>
      <c r="C175" s="11" t="s">
        <v>67</v>
      </c>
      <c r="D175" s="21">
        <v>1</v>
      </c>
      <c r="E175" t="s">
        <v>154</v>
      </c>
    </row>
    <row r="176" spans="1:5">
      <c r="A176" s="30"/>
      <c r="B176">
        <v>48</v>
      </c>
      <c r="C176" s="11" t="s">
        <v>68</v>
      </c>
      <c r="D176">
        <v>0</v>
      </c>
      <c r="E176" t="s">
        <v>154</v>
      </c>
    </row>
    <row r="177" spans="1:5">
      <c r="A177" s="30"/>
      <c r="B177">
        <v>49</v>
      </c>
      <c r="C177" s="11" t="s">
        <v>69</v>
      </c>
      <c r="D177">
        <v>0</v>
      </c>
      <c r="E177" t="s">
        <v>154</v>
      </c>
    </row>
    <row r="178" spans="1:5">
      <c r="A178" s="30"/>
      <c r="B178">
        <v>50</v>
      </c>
      <c r="C178" s="11" t="s">
        <v>70</v>
      </c>
      <c r="D178">
        <v>0</v>
      </c>
      <c r="E178" t="s">
        <v>154</v>
      </c>
    </row>
    <row r="179" spans="1:5">
      <c r="A179" s="30"/>
      <c r="B179" s="18">
        <v>51</v>
      </c>
      <c r="C179" s="25" t="s">
        <v>71</v>
      </c>
      <c r="D179" s="18">
        <v>1</v>
      </c>
      <c r="E179" s="18" t="s">
        <v>154</v>
      </c>
    </row>
    <row r="180" spans="1:5">
      <c r="A180" s="30"/>
      <c r="B180" s="18">
        <v>52</v>
      </c>
      <c r="C180" s="25" t="s">
        <v>72</v>
      </c>
      <c r="D180" s="18">
        <v>1</v>
      </c>
      <c r="E180" s="18" t="s">
        <v>154</v>
      </c>
    </row>
    <row r="181" spans="1:5">
      <c r="A181" s="30"/>
      <c r="B181" s="18">
        <v>53</v>
      </c>
      <c r="C181" s="25" t="s">
        <v>73</v>
      </c>
      <c r="D181" s="18">
        <v>1</v>
      </c>
      <c r="E181" s="18" t="s">
        <v>154</v>
      </c>
    </row>
    <row r="182" spans="1:5">
      <c r="A182" s="30"/>
      <c r="B182" s="18">
        <v>54</v>
      </c>
      <c r="C182" s="25" t="s">
        <v>74</v>
      </c>
      <c r="D182" s="18">
        <v>1</v>
      </c>
      <c r="E182" s="18" t="s">
        <v>154</v>
      </c>
    </row>
    <row r="183" spans="1:5">
      <c r="A183" s="30"/>
      <c r="B183" s="18">
        <v>55</v>
      </c>
      <c r="C183" s="25" t="s">
        <v>75</v>
      </c>
      <c r="D183" s="18">
        <v>1</v>
      </c>
      <c r="E183" s="18" t="s">
        <v>154</v>
      </c>
    </row>
    <row r="184" spans="1:5">
      <c r="A184" s="30"/>
      <c r="B184" s="18">
        <v>56</v>
      </c>
      <c r="C184" s="25" t="s">
        <v>76</v>
      </c>
      <c r="D184" s="18">
        <v>1</v>
      </c>
      <c r="E184" s="18" t="s">
        <v>154</v>
      </c>
    </row>
    <row r="185" spans="1:5">
      <c r="A185" s="30"/>
      <c r="B185" s="18">
        <v>57</v>
      </c>
      <c r="C185" s="25" t="s">
        <v>77</v>
      </c>
      <c r="D185" s="18">
        <v>1</v>
      </c>
      <c r="E185" s="18" t="s">
        <v>154</v>
      </c>
    </row>
    <row r="186" spans="1:5">
      <c r="A186" s="30"/>
      <c r="B186" s="18">
        <v>58</v>
      </c>
      <c r="C186" s="25" t="s">
        <v>78</v>
      </c>
      <c r="D186" s="18">
        <v>1</v>
      </c>
      <c r="E186" s="18" t="s">
        <v>154</v>
      </c>
    </row>
    <row r="187" spans="1:5">
      <c r="A187" s="30"/>
      <c r="B187" s="18">
        <v>59</v>
      </c>
      <c r="C187" s="25" t="s">
        <v>79</v>
      </c>
      <c r="D187" s="18">
        <v>1</v>
      </c>
      <c r="E187" s="18" t="s">
        <v>154</v>
      </c>
    </row>
    <row r="188" spans="1:5">
      <c r="A188" s="30"/>
      <c r="B188" s="18">
        <v>60</v>
      </c>
      <c r="C188" s="25" t="s">
        <v>80</v>
      </c>
      <c r="D188" s="18">
        <v>1</v>
      </c>
      <c r="E188" s="18" t="s">
        <v>154</v>
      </c>
    </row>
    <row r="189" spans="1:5">
      <c r="A189" s="30"/>
      <c r="B189" s="18">
        <v>61</v>
      </c>
      <c r="C189" s="25" t="s">
        <v>81</v>
      </c>
      <c r="D189" s="18">
        <v>1</v>
      </c>
      <c r="E189" s="18" t="s">
        <v>154</v>
      </c>
    </row>
    <row r="190" spans="1:5">
      <c r="A190" s="30"/>
      <c r="B190" s="18">
        <v>62</v>
      </c>
      <c r="C190" s="25" t="s">
        <v>82</v>
      </c>
      <c r="D190" s="18">
        <v>1</v>
      </c>
      <c r="E190" s="18" t="s">
        <v>154</v>
      </c>
    </row>
    <row r="191" spans="1:5">
      <c r="A191" s="30"/>
      <c r="B191" s="18">
        <v>63</v>
      </c>
      <c r="C191" s="25" t="s">
        <v>83</v>
      </c>
      <c r="D191" s="18">
        <v>1</v>
      </c>
      <c r="E191" s="18" t="s">
        <v>154</v>
      </c>
    </row>
    <row r="192" spans="1:5">
      <c r="A192" s="30"/>
      <c r="B192" s="18">
        <v>64</v>
      </c>
      <c r="C192" s="25" t="s">
        <v>84</v>
      </c>
      <c r="D192" s="18">
        <v>1</v>
      </c>
      <c r="E192" s="18" t="s">
        <v>154</v>
      </c>
    </row>
    <row r="193" spans="1:5">
      <c r="A193" s="30"/>
      <c r="B193" s="18">
        <v>65</v>
      </c>
      <c r="C193" s="25" t="s">
        <v>85</v>
      </c>
      <c r="D193" s="18">
        <v>1</v>
      </c>
      <c r="E193" s="18" t="s">
        <v>154</v>
      </c>
    </row>
    <row r="194" spans="1:5">
      <c r="A194" s="30"/>
      <c r="B194" s="18">
        <v>66</v>
      </c>
      <c r="C194" s="25" t="s">
        <v>86</v>
      </c>
      <c r="D194" s="18">
        <v>1</v>
      </c>
      <c r="E194" s="18" t="s">
        <v>154</v>
      </c>
    </row>
    <row r="195" spans="1:5">
      <c r="A195" s="30"/>
      <c r="B195" s="18">
        <v>67</v>
      </c>
      <c r="C195" s="25" t="s">
        <v>87</v>
      </c>
      <c r="D195" s="18">
        <v>1</v>
      </c>
      <c r="E195" s="18" t="s">
        <v>154</v>
      </c>
    </row>
    <row r="196" spans="1:5">
      <c r="A196" s="30"/>
      <c r="B196" s="18">
        <v>68</v>
      </c>
      <c r="C196" s="25" t="s">
        <v>88</v>
      </c>
      <c r="D196" s="18">
        <v>1</v>
      </c>
      <c r="E196" s="18" t="s">
        <v>154</v>
      </c>
    </row>
    <row r="197" spans="1:5">
      <c r="A197" s="30"/>
      <c r="B197">
        <v>69</v>
      </c>
      <c r="C197" s="12" t="s">
        <v>89</v>
      </c>
      <c r="D197" s="18">
        <v>1</v>
      </c>
      <c r="E197" t="s">
        <v>154</v>
      </c>
    </row>
    <row r="198" spans="1:5">
      <c r="A198" s="30"/>
      <c r="B198">
        <v>70</v>
      </c>
      <c r="C198" s="12" t="s">
        <v>90</v>
      </c>
      <c r="D198" s="18">
        <v>1</v>
      </c>
      <c r="E198" t="s">
        <v>154</v>
      </c>
    </row>
    <row r="199" spans="1:5">
      <c r="A199" s="30"/>
      <c r="B199">
        <v>71</v>
      </c>
      <c r="C199" s="12" t="s">
        <v>91</v>
      </c>
      <c r="D199" s="18">
        <v>1</v>
      </c>
      <c r="E199" t="s">
        <v>154</v>
      </c>
    </row>
    <row r="200" spans="1:5">
      <c r="A200" s="30"/>
      <c r="B200">
        <v>72</v>
      </c>
      <c r="C200" s="12" t="s">
        <v>92</v>
      </c>
      <c r="D200" s="18">
        <v>0</v>
      </c>
      <c r="E200" t="s">
        <v>154</v>
      </c>
    </row>
    <row r="201" spans="1:5">
      <c r="A201" s="30"/>
      <c r="B201">
        <v>73</v>
      </c>
      <c r="C201" s="13" t="s">
        <v>93</v>
      </c>
      <c r="D201" s="18">
        <v>1</v>
      </c>
      <c r="E201" t="s">
        <v>154</v>
      </c>
    </row>
    <row r="202" spans="1:5">
      <c r="A202" s="30"/>
      <c r="B202">
        <v>74</v>
      </c>
      <c r="C202" s="13" t="s">
        <v>94</v>
      </c>
      <c r="D202" s="18">
        <v>1</v>
      </c>
      <c r="E202" t="s">
        <v>154</v>
      </c>
    </row>
    <row r="203" spans="1:5">
      <c r="A203" s="30"/>
      <c r="B203">
        <v>75</v>
      </c>
      <c r="C203" s="15" t="s">
        <v>95</v>
      </c>
      <c r="D203" s="18">
        <v>1</v>
      </c>
      <c r="E203" t="s">
        <v>154</v>
      </c>
    </row>
    <row r="204" spans="1:5">
      <c r="A204" s="30"/>
      <c r="B204">
        <v>76</v>
      </c>
      <c r="C204" s="15" t="s">
        <v>96</v>
      </c>
      <c r="D204" s="18">
        <v>1</v>
      </c>
      <c r="E204" t="s">
        <v>154</v>
      </c>
    </row>
    <row r="205" spans="1:5">
      <c r="A205" s="30"/>
      <c r="B205">
        <v>77</v>
      </c>
      <c r="C205" s="15" t="s">
        <v>97</v>
      </c>
      <c r="D205" s="18">
        <v>1</v>
      </c>
      <c r="E205" t="s">
        <v>154</v>
      </c>
    </row>
    <row r="206" spans="1:5">
      <c r="A206" s="30"/>
      <c r="B206">
        <v>78</v>
      </c>
      <c r="C206" s="15" t="s">
        <v>98</v>
      </c>
      <c r="D206" s="18">
        <v>1</v>
      </c>
      <c r="E206" t="s">
        <v>154</v>
      </c>
    </row>
    <row r="207" spans="1:5">
      <c r="A207" s="30"/>
      <c r="B207">
        <v>79</v>
      </c>
      <c r="C207" s="15" t="s">
        <v>99</v>
      </c>
      <c r="D207" s="18">
        <v>1</v>
      </c>
      <c r="E207" t="s">
        <v>154</v>
      </c>
    </row>
    <row r="208" spans="1:5">
      <c r="A208" s="30"/>
      <c r="B208">
        <v>80</v>
      </c>
      <c r="C208" s="15" t="s">
        <v>100</v>
      </c>
      <c r="D208" s="18">
        <v>1</v>
      </c>
      <c r="E208" t="s">
        <v>154</v>
      </c>
    </row>
    <row r="209" spans="1:5">
      <c r="A209" s="30"/>
      <c r="B209">
        <v>81</v>
      </c>
      <c r="C209" s="15" t="s">
        <v>101</v>
      </c>
      <c r="D209" s="18">
        <v>1</v>
      </c>
      <c r="E209" t="s">
        <v>154</v>
      </c>
    </row>
    <row r="210" spans="1:5">
      <c r="A210" s="30"/>
      <c r="B210">
        <v>82</v>
      </c>
      <c r="C210" s="15" t="s">
        <v>102</v>
      </c>
      <c r="D210" s="18">
        <v>1</v>
      </c>
      <c r="E210" t="s">
        <v>154</v>
      </c>
    </row>
    <row r="211" spans="1:5">
      <c r="A211" s="30"/>
      <c r="B211">
        <v>83</v>
      </c>
      <c r="C211" s="15" t="s">
        <v>103</v>
      </c>
      <c r="D211" s="18">
        <v>1</v>
      </c>
      <c r="E211" t="s">
        <v>154</v>
      </c>
    </row>
    <row r="212" spans="1:5">
      <c r="A212" s="30"/>
      <c r="B212">
        <v>84</v>
      </c>
      <c r="C212" s="15" t="s">
        <v>104</v>
      </c>
      <c r="D212" s="18">
        <v>1</v>
      </c>
      <c r="E212" t="s">
        <v>154</v>
      </c>
    </row>
    <row r="213" spans="1:5">
      <c r="A213" s="30"/>
      <c r="B213">
        <v>85</v>
      </c>
      <c r="C213" s="15" t="s">
        <v>105</v>
      </c>
      <c r="D213" s="18">
        <v>1</v>
      </c>
      <c r="E213" t="s">
        <v>154</v>
      </c>
    </row>
    <row r="214" spans="1:5">
      <c r="A214" s="30"/>
      <c r="B214">
        <v>86</v>
      </c>
      <c r="C214" s="15" t="s">
        <v>106</v>
      </c>
      <c r="D214" s="18">
        <v>1</v>
      </c>
      <c r="E214" t="s">
        <v>154</v>
      </c>
    </row>
    <row r="215" spans="1:5">
      <c r="A215" s="30"/>
      <c r="B215">
        <v>87</v>
      </c>
      <c r="C215" s="15" t="s">
        <v>107</v>
      </c>
      <c r="D215" s="18">
        <v>1</v>
      </c>
      <c r="E215" t="s">
        <v>154</v>
      </c>
    </row>
    <row r="216" spans="1:5">
      <c r="A216" s="30"/>
      <c r="B216">
        <v>88</v>
      </c>
      <c r="C216" s="15" t="s">
        <v>108</v>
      </c>
      <c r="D216" s="18">
        <v>1</v>
      </c>
      <c r="E216" t="s">
        <v>154</v>
      </c>
    </row>
    <row r="217" spans="1:5">
      <c r="A217" s="30"/>
      <c r="B217">
        <v>89</v>
      </c>
      <c r="C217" s="15" t="s">
        <v>109</v>
      </c>
      <c r="D217" s="18">
        <v>1</v>
      </c>
      <c r="E217" t="s">
        <v>154</v>
      </c>
    </row>
    <row r="218" spans="1:5">
      <c r="A218" s="30"/>
      <c r="B218">
        <v>90</v>
      </c>
      <c r="C218" s="15" t="s">
        <v>110</v>
      </c>
      <c r="D218" s="18">
        <v>1</v>
      </c>
      <c r="E218" t="s">
        <v>154</v>
      </c>
    </row>
    <row r="219" spans="1:5">
      <c r="A219" s="30"/>
      <c r="B219">
        <v>91</v>
      </c>
      <c r="C219" s="15" t="s">
        <v>111</v>
      </c>
      <c r="D219" s="18">
        <v>1</v>
      </c>
      <c r="E219" t="s">
        <v>154</v>
      </c>
    </row>
    <row r="220" spans="1:5">
      <c r="A220" s="30"/>
      <c r="B220">
        <v>92</v>
      </c>
      <c r="C220" s="15" t="s">
        <v>112</v>
      </c>
      <c r="D220" s="18">
        <v>1</v>
      </c>
      <c r="E220" t="s">
        <v>154</v>
      </c>
    </row>
    <row r="221" spans="1:5">
      <c r="A221" s="30"/>
      <c r="B221">
        <v>93</v>
      </c>
      <c r="C221" s="15" t="s">
        <v>113</v>
      </c>
      <c r="D221" s="18">
        <v>1</v>
      </c>
      <c r="E221" t="s">
        <v>154</v>
      </c>
    </row>
    <row r="222" spans="1:5">
      <c r="A222" s="30"/>
      <c r="B222">
        <v>94</v>
      </c>
      <c r="C222" s="15" t="s">
        <v>114</v>
      </c>
      <c r="D222" s="18">
        <v>1</v>
      </c>
      <c r="E222" t="s">
        <v>154</v>
      </c>
    </row>
    <row r="223" spans="1:5">
      <c r="A223" s="30"/>
      <c r="B223">
        <v>95</v>
      </c>
      <c r="C223" s="15" t="s">
        <v>115</v>
      </c>
      <c r="D223" s="18">
        <v>1</v>
      </c>
      <c r="E223" t="s">
        <v>154</v>
      </c>
    </row>
    <row r="224" spans="1:5">
      <c r="A224" s="30"/>
      <c r="B224" s="18">
        <v>96</v>
      </c>
      <c r="C224" s="15" t="s">
        <v>116</v>
      </c>
      <c r="D224" s="18">
        <v>1</v>
      </c>
      <c r="E224" s="18" t="s">
        <v>154</v>
      </c>
    </row>
    <row r="225" spans="1:5">
      <c r="A225" s="30"/>
      <c r="B225">
        <v>97</v>
      </c>
      <c r="C225" s="15" t="s">
        <v>117</v>
      </c>
      <c r="D225" s="18">
        <v>1</v>
      </c>
      <c r="E225" t="s">
        <v>154</v>
      </c>
    </row>
    <row r="226" spans="1:5">
      <c r="A226" s="30"/>
      <c r="B226">
        <v>98</v>
      </c>
      <c r="C226" s="15" t="s">
        <v>118</v>
      </c>
      <c r="D226" s="18">
        <v>1</v>
      </c>
      <c r="E226" t="s">
        <v>154</v>
      </c>
    </row>
    <row r="227" spans="1:5">
      <c r="A227" s="30"/>
      <c r="B227">
        <v>99</v>
      </c>
      <c r="C227" s="15" t="s">
        <v>119</v>
      </c>
      <c r="D227" s="18">
        <v>1</v>
      </c>
      <c r="E227" t="s">
        <v>154</v>
      </c>
    </row>
    <row r="228" spans="1:5">
      <c r="A228" s="30"/>
      <c r="B228">
        <v>100</v>
      </c>
      <c r="C228" s="15" t="s">
        <v>120</v>
      </c>
      <c r="D228" s="18">
        <v>1</v>
      </c>
      <c r="E228" t="s">
        <v>154</v>
      </c>
    </row>
    <row r="229" spans="1:5">
      <c r="A229" s="30"/>
      <c r="B229">
        <v>101</v>
      </c>
      <c r="C229" s="15" t="s">
        <v>121</v>
      </c>
      <c r="D229" s="18">
        <v>1</v>
      </c>
      <c r="E229" t="s">
        <v>154</v>
      </c>
    </row>
    <row r="230" spans="1:5">
      <c r="A230" s="30"/>
      <c r="B230">
        <v>102</v>
      </c>
      <c r="C230" s="15" t="s">
        <v>122</v>
      </c>
      <c r="D230" s="18">
        <v>1</v>
      </c>
      <c r="E230" t="s">
        <v>154</v>
      </c>
    </row>
    <row r="231" spans="1:5">
      <c r="A231" s="30"/>
      <c r="B231">
        <v>103</v>
      </c>
      <c r="C231" s="15" t="s">
        <v>123</v>
      </c>
      <c r="D231" s="18">
        <v>1</v>
      </c>
      <c r="E231" t="s">
        <v>154</v>
      </c>
    </row>
    <row r="232" spans="1:5">
      <c r="A232" s="30"/>
      <c r="B232">
        <v>104</v>
      </c>
      <c r="C232" s="15" t="s">
        <v>124</v>
      </c>
      <c r="D232" s="18">
        <v>1</v>
      </c>
      <c r="E232" t="s">
        <v>154</v>
      </c>
    </row>
    <row r="233" spans="1:5">
      <c r="A233" s="30"/>
      <c r="B233">
        <v>105</v>
      </c>
      <c r="C233" s="15" t="s">
        <v>125</v>
      </c>
      <c r="D233" s="18">
        <v>1</v>
      </c>
      <c r="E233" t="s">
        <v>154</v>
      </c>
    </row>
    <row r="234" spans="1:5">
      <c r="A234" s="30"/>
      <c r="B234">
        <v>106</v>
      </c>
      <c r="C234" s="15" t="s">
        <v>126</v>
      </c>
      <c r="D234" s="18">
        <v>1</v>
      </c>
      <c r="E234" t="s">
        <v>154</v>
      </c>
    </row>
    <row r="235" spans="1:5">
      <c r="A235" s="30"/>
      <c r="B235">
        <v>107</v>
      </c>
      <c r="C235" s="14" t="s">
        <v>127</v>
      </c>
      <c r="D235" s="18">
        <v>1</v>
      </c>
      <c r="E235" t="s">
        <v>154</v>
      </c>
    </row>
    <row r="236" spans="1:5">
      <c r="A236" s="30"/>
      <c r="B236">
        <v>108</v>
      </c>
      <c r="C236" s="14" t="s">
        <v>128</v>
      </c>
      <c r="D236" s="18">
        <v>1</v>
      </c>
      <c r="E236" t="s">
        <v>154</v>
      </c>
    </row>
    <row r="237" spans="1:5">
      <c r="A237" s="30"/>
      <c r="B237">
        <v>109</v>
      </c>
      <c r="C237" s="14" t="s">
        <v>129</v>
      </c>
      <c r="D237" s="18">
        <v>1</v>
      </c>
      <c r="E237" t="s">
        <v>154</v>
      </c>
    </row>
    <row r="238" spans="1:5">
      <c r="A238" s="30"/>
      <c r="B238">
        <v>110</v>
      </c>
      <c r="C238" s="14" t="s">
        <v>130</v>
      </c>
      <c r="D238" s="18">
        <v>1</v>
      </c>
      <c r="E238" t="s">
        <v>154</v>
      </c>
    </row>
    <row r="239" spans="1:5">
      <c r="A239" s="30"/>
      <c r="B239">
        <v>111</v>
      </c>
      <c r="C239" s="14" t="s">
        <v>131</v>
      </c>
      <c r="D239" s="18">
        <v>1</v>
      </c>
      <c r="E239" t="s">
        <v>154</v>
      </c>
    </row>
    <row r="240" spans="1:5">
      <c r="A240" s="30"/>
      <c r="B240">
        <v>112</v>
      </c>
      <c r="C240" s="14" t="s">
        <v>132</v>
      </c>
      <c r="D240" s="18">
        <v>0.5</v>
      </c>
      <c r="E240" t="s">
        <v>154</v>
      </c>
    </row>
    <row r="241" spans="1:5">
      <c r="A241" s="30"/>
      <c r="B241">
        <v>113</v>
      </c>
      <c r="C241" s="14" t="s">
        <v>133</v>
      </c>
      <c r="D241" s="18">
        <v>0.5</v>
      </c>
      <c r="E241" t="s">
        <v>154</v>
      </c>
    </row>
    <row r="242" spans="1:5">
      <c r="A242" s="30"/>
      <c r="B242">
        <v>114</v>
      </c>
      <c r="C242" s="14" t="s">
        <v>134</v>
      </c>
      <c r="D242" s="18">
        <v>0.5</v>
      </c>
      <c r="E242" t="s">
        <v>154</v>
      </c>
    </row>
    <row r="243" spans="1:5">
      <c r="A243" s="30"/>
      <c r="B243">
        <v>115</v>
      </c>
      <c r="C243" s="14" t="s">
        <v>135</v>
      </c>
      <c r="D243" s="18">
        <v>0.5</v>
      </c>
      <c r="E243" t="s">
        <v>154</v>
      </c>
    </row>
    <row r="244" spans="1:5">
      <c r="A244" s="30"/>
      <c r="B244">
        <v>116</v>
      </c>
      <c r="C244" s="14" t="s">
        <v>136</v>
      </c>
      <c r="D244" s="18">
        <v>0.5</v>
      </c>
      <c r="E244" t="s">
        <v>154</v>
      </c>
    </row>
    <row r="245" spans="1:5">
      <c r="A245" s="30"/>
      <c r="B245">
        <v>117</v>
      </c>
      <c r="C245" s="14" t="s">
        <v>137</v>
      </c>
      <c r="D245" s="18">
        <v>0.5</v>
      </c>
      <c r="E245" t="s">
        <v>154</v>
      </c>
    </row>
    <row r="246" spans="1:5">
      <c r="A246" s="30"/>
      <c r="B246">
        <v>118</v>
      </c>
      <c r="C246" s="14" t="s">
        <v>138</v>
      </c>
      <c r="D246" s="18">
        <v>1</v>
      </c>
      <c r="E246" t="s">
        <v>154</v>
      </c>
    </row>
    <row r="247" spans="1:5">
      <c r="A247" s="30"/>
      <c r="B247">
        <v>119</v>
      </c>
      <c r="C247" s="14" t="s">
        <v>139</v>
      </c>
      <c r="D247" s="18">
        <v>1</v>
      </c>
      <c r="E247" t="s">
        <v>154</v>
      </c>
    </row>
    <row r="248" spans="1:5">
      <c r="A248" s="30"/>
      <c r="B248">
        <v>120</v>
      </c>
      <c r="C248" s="17" t="s">
        <v>140</v>
      </c>
      <c r="D248" s="18">
        <v>1</v>
      </c>
      <c r="E248" t="s">
        <v>154</v>
      </c>
    </row>
    <row r="249" spans="1:5">
      <c r="A249" s="30"/>
      <c r="B249">
        <v>121</v>
      </c>
      <c r="C249" s="17" t="s">
        <v>141</v>
      </c>
      <c r="D249" s="18">
        <v>1</v>
      </c>
      <c r="E249" t="s">
        <v>154</v>
      </c>
    </row>
    <row r="250" spans="1:5">
      <c r="A250" s="30"/>
      <c r="B250">
        <v>122</v>
      </c>
      <c r="C250" s="17" t="s">
        <v>142</v>
      </c>
      <c r="D250" s="18">
        <v>1</v>
      </c>
      <c r="E250" t="s">
        <v>154</v>
      </c>
    </row>
    <row r="251" spans="1:5">
      <c r="A251" s="30"/>
      <c r="B251">
        <v>123</v>
      </c>
      <c r="C251" s="17" t="s">
        <v>143</v>
      </c>
      <c r="D251" s="18">
        <v>1</v>
      </c>
      <c r="E251" t="s">
        <v>154</v>
      </c>
    </row>
    <row r="252" spans="1:5">
      <c r="A252" s="30"/>
      <c r="B252">
        <v>124</v>
      </c>
      <c r="C252" s="17" t="s">
        <v>144</v>
      </c>
      <c r="D252" s="18">
        <v>1</v>
      </c>
      <c r="E252" t="s">
        <v>154</v>
      </c>
    </row>
    <row r="253" spans="1:5">
      <c r="A253" s="30"/>
      <c r="B253">
        <v>125</v>
      </c>
      <c r="C253" s="17" t="s">
        <v>145</v>
      </c>
      <c r="D253" s="18">
        <v>1</v>
      </c>
      <c r="E253" t="s">
        <v>154</v>
      </c>
    </row>
    <row r="254" spans="1:5">
      <c r="A254" s="30"/>
      <c r="B254">
        <v>126</v>
      </c>
      <c r="C254" s="17" t="s">
        <v>146</v>
      </c>
      <c r="D254" s="18">
        <v>1</v>
      </c>
      <c r="E254" t="s">
        <v>154</v>
      </c>
    </row>
    <row r="255" spans="1:5">
      <c r="A255" s="30"/>
      <c r="B255">
        <v>127</v>
      </c>
      <c r="C255" s="16" t="s">
        <v>147</v>
      </c>
      <c r="D255" s="18">
        <v>1</v>
      </c>
      <c r="E255" t="s">
        <v>154</v>
      </c>
    </row>
    <row r="256" spans="1:5">
      <c r="A256" s="30"/>
      <c r="B256">
        <v>128</v>
      </c>
      <c r="C256" s="16" t="s">
        <v>148</v>
      </c>
      <c r="D256" s="18">
        <v>1</v>
      </c>
      <c r="E256" t="s">
        <v>154</v>
      </c>
    </row>
  </sheetData>
  <mergeCells count="6">
    <mergeCell ref="A131:A256"/>
    <mergeCell ref="I53:I57"/>
    <mergeCell ref="I71:I72"/>
    <mergeCell ref="I118:I119"/>
    <mergeCell ref="I48:I49"/>
    <mergeCell ref="A3:A1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inovabiz</cp:lastModifiedBy>
  <dcterms:created xsi:type="dcterms:W3CDTF">2015-02-24T20:54:23Z</dcterms:created>
  <dcterms:modified xsi:type="dcterms:W3CDTF">2018-11-13T15:47:00Z</dcterms:modified>
</cp:coreProperties>
</file>